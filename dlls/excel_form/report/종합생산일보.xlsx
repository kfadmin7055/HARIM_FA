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1127690E-3582-41F8-AA39-B088DD14B5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종합생산일보(MES)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 localSheetId="0">#REF!</definedName>
    <definedName name="_________RAW1">'[7]원료가격(AT순서)'!$A$5:$O$79</definedName>
    <definedName name="_________raw2" localSheetId="0">'[5]CJ Code 기준'!$A$1:$D$445</definedName>
    <definedName name="_________raw2">'[6]CJ Code 기준'!$A$1:$D$445</definedName>
    <definedName name="_________raw4" localSheetId="0">'[5]CJ Code 기준'!$A$1:$D$444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 localSheetId="0">'[6]CJ Code 기준'!$A$1:$D$445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 localSheetId="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 localSheetId="0">[20]매출정보!$N$3:$N$16</definedName>
    <definedName name="_10월">[21]매출정보!$N$3:$N$16</definedName>
    <definedName name="_11월" localSheetId="0">[20]매출정보!$O$3:$O$16</definedName>
    <definedName name="_11월">[21]매출정보!$O$3:$O$16</definedName>
    <definedName name="_12월" localSheetId="0">[20]매출정보!$P$3:$P$16</definedName>
    <definedName name="_12월">[21]매출정보!$P$3:$P$16</definedName>
    <definedName name="_1월" localSheetId="0">[20]매출정보!$E$3:$E$16</definedName>
    <definedName name="_1월">[21]매출정보!$E$3:$E$16</definedName>
    <definedName name="_2">#REF!</definedName>
    <definedName name="_2_0Crite">[17]Sheet1!#REF!</definedName>
    <definedName name="_2_0Datab">[17]Sheet1!#REF!</definedName>
    <definedName name="_2월" localSheetId="0">[20]매출정보!$F$3:$F$16</definedName>
    <definedName name="_2월">[21]매출정보!$F$3:$F$16</definedName>
    <definedName name="_3">#REF!</definedName>
    <definedName name="_3_0Extr">[17]Sheet1!#REF!</definedName>
    <definedName name="_3월" localSheetId="0">[20]매출정보!$G$3:$G$16</definedName>
    <definedName name="_3월">[21]매출정보!$G$3:$G$16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 localSheetId="0">[20]매출정보!$H$3:$H$16</definedName>
    <definedName name="_4월">[21]매출정보!$H$3:$H$16</definedName>
    <definedName name="_5">#REF!</definedName>
    <definedName name="_5월" localSheetId="0">[20]매출정보!$I$3:$I$16</definedName>
    <definedName name="_5월">[21]매출정보!$I$3:$I$16</definedName>
    <definedName name="_6">#REF!</definedName>
    <definedName name="_6_0Extr">[17]Sheet1!#REF!</definedName>
    <definedName name="_6월" localSheetId="0">[20]매출정보!$J$3:$J$16</definedName>
    <definedName name="_6월">[21]매출정보!$J$3:$J$16</definedName>
    <definedName name="_7">#REF!</definedName>
    <definedName name="_77">#REF!</definedName>
    <definedName name="_7월" localSheetId="0">[20]매출정보!$K$3:$K$16</definedName>
    <definedName name="_7월">[21]매출정보!$K$3:$K$16</definedName>
    <definedName name="_8">#REF!</definedName>
    <definedName name="_8Database">[18]가수금대체!#REF!</definedName>
    <definedName name="_8월" localSheetId="0">[20]매출정보!$L$3:$L$16</definedName>
    <definedName name="_8월">[21]매출정보!$L$3:$L$16</definedName>
    <definedName name="_9월" localSheetId="0">[20]매출정보!$M$3:$M$16</definedName>
    <definedName name="_9월">[21]매출정보!$M$3:$M$16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 localSheetId="0">'[6]CJ Code 기준'!$A$1:$D$445</definedName>
    <definedName name="_raw2">'[22]CJ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hidden="1">#REF!</definedName>
    <definedName name="_sp01" localSheetId="0">'[2]2000년1월기준'!$B$7:$F$232</definedName>
    <definedName name="_sp01">'[23]2000년1월기준'!$B$7:$F$232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[24]잡손실내역!#REF!</definedName>
    <definedName name="aaa">#REF!</definedName>
    <definedName name="abc">#REF!</definedName>
    <definedName name="ACC">OFFSET([25]graph!$B$77,0,0,1,COUNTA([25]graph!$A$77:$IV$77)-1)</definedName>
    <definedName name="AL_ANODE">#REF!</definedName>
    <definedName name="AllTables" localSheetId="0">{10}</definedName>
    <definedName name="AllTables">{10}</definedName>
    <definedName name="AN_ANODE">#REF!</definedName>
    <definedName name="Ana_CFROI" localSheetId="0">[26]Analysis!$A$1078:$J$1110</definedName>
    <definedName name="Ana_CFROI">[27]Analysis!$A$1078:$J$1110</definedName>
    <definedName name="Ana_GI" localSheetId="0">[26]Analysis!$A$1147:$I$1179</definedName>
    <definedName name="Ana_GI">[27]Analysis!$A$1147:$I$1179</definedName>
    <definedName name="Ana_ScatterRaw" localSheetId="0">[26]Analysis!$A$2000:$A$2251</definedName>
    <definedName name="Ana_ScatterRaw">[27]Analysis!$A$2000:$A$2251</definedName>
    <definedName name="ANODE재">[28]Sheet6!#REF!</definedName>
    <definedName name="APMA">#REF!</definedName>
    <definedName name="area">#REF!</definedName>
    <definedName name="as">'[29]9-1차이내역'!#REF!</definedName>
    <definedName name="AS2DocOpenMode">"AS2DocumentEdit"</definedName>
    <definedName name="asdf">'[29]9-1차이내역'!#REF!</definedName>
    <definedName name="AT">#REF!</definedName>
    <definedName name="Audit_Type">'[30](Do not delete)'!$E$1:$E$11</definedName>
    <definedName name="AUM">OFFSET([25]graph!$B$76,0,0,1,COUNTA([25]graph!$A$76:$IV$76)-1)</definedName>
    <definedName name="b">'[31]외화금융(97-03)'!#REF!</definedName>
    <definedName name="BaseYear">#REF!</definedName>
    <definedName name="BBB">[32]data!#REF!</definedName>
    <definedName name="bcd">#REF!</definedName>
    <definedName name="bcrclcl100rt">'[33]9-1차이내역'!#REF!</definedName>
    <definedName name="bcrclcl100rtrkrk">'[33]9-1차이내역'!#REF!</definedName>
    <definedName name="BEP">'[34]손익분기점 데이터'!$F$5</definedName>
    <definedName name="bizforms">"bizforms.co.kr"</definedName>
    <definedName name="BUFFER">#REF!</definedName>
    <definedName name="Button13_Click">[35]!Button13_Click</definedName>
    <definedName name="Button25_Click">[35]!Button25_Click</definedName>
    <definedName name="Button26_Click">[35]!Button26_Click</definedName>
    <definedName name="CABLE_SCH">#REF!</definedName>
    <definedName name="CANCL">#REF!</definedName>
    <definedName name="Category">'[30](Do not delete)'!$A$1:$A$5</definedName>
    <definedName name="CBirds">'[36]Weekly Input'!$AK$6</definedName>
    <definedName name="cde">#REF!</definedName>
    <definedName name="COMPANIES">#REF!</definedName>
    <definedName name="conb1">[37]!conb1</definedName>
    <definedName name="conb10">[37]!conb10</definedName>
    <definedName name="conb100">[37]!conb100</definedName>
    <definedName name="conb101">[37]!conb101</definedName>
    <definedName name="conb102">[37]!conb102</definedName>
    <definedName name="conb103">[37]!conb103</definedName>
    <definedName name="conb104">[37]!conb104</definedName>
    <definedName name="conb105">[37]!conb105</definedName>
    <definedName name="conb106">[37]!conb106</definedName>
    <definedName name="conb107">[37]!conb107</definedName>
    <definedName name="conb108">[37]!conb108</definedName>
    <definedName name="conb109">[37]!conb109</definedName>
    <definedName name="conb11">[37]!conb11</definedName>
    <definedName name="conb110">[37]!conb110</definedName>
    <definedName name="conb111">[37]!conb111</definedName>
    <definedName name="conb112">[37]!conb112</definedName>
    <definedName name="conb113">[37]!conb113</definedName>
    <definedName name="conb114">[37]!conb114</definedName>
    <definedName name="conb115">[37]!conb115</definedName>
    <definedName name="conb116">[37]!conb116</definedName>
    <definedName name="conb117">[37]!conb117</definedName>
    <definedName name="conb118">[37]!conb118</definedName>
    <definedName name="conb119">[37]!conb119</definedName>
    <definedName name="conb12">[37]!conb12</definedName>
    <definedName name="conb120">[37]!conb120</definedName>
    <definedName name="conb121">[37]!conb121</definedName>
    <definedName name="conb13">[37]!conb13</definedName>
    <definedName name="conb14">[37]!conb14</definedName>
    <definedName name="conb15">[37]!conb15</definedName>
    <definedName name="conb16">[37]!conb16</definedName>
    <definedName name="conb17">[37]!conb17</definedName>
    <definedName name="conb18">[37]!conb18</definedName>
    <definedName name="conb19">[37]!conb19</definedName>
    <definedName name="conb2">[37]!conb2</definedName>
    <definedName name="conb20">[37]!conb20</definedName>
    <definedName name="conb21">[37]!conb21</definedName>
    <definedName name="conb22">[37]!conb22</definedName>
    <definedName name="conb23">[37]!conb23</definedName>
    <definedName name="conb24">[37]!conb24</definedName>
    <definedName name="conb25">[37]!conb25</definedName>
    <definedName name="conb26">[37]!conb26</definedName>
    <definedName name="conb27">[37]!conb27</definedName>
    <definedName name="conb28">[37]!conb28</definedName>
    <definedName name="conb29">[37]!conb29</definedName>
    <definedName name="conb3">[37]!conb3</definedName>
    <definedName name="conb30">[37]!conb30</definedName>
    <definedName name="conb31">[37]!conb31</definedName>
    <definedName name="conb33">[37]!conb33</definedName>
    <definedName name="conb34">[37]!conb34</definedName>
    <definedName name="conb36">[37]!conb36</definedName>
    <definedName name="conb37">[37]!conb37</definedName>
    <definedName name="conb38">[37]!conb38</definedName>
    <definedName name="conb39">[37]!conb39</definedName>
    <definedName name="conb4">[37]!conb4</definedName>
    <definedName name="conb40">[37]!conb40</definedName>
    <definedName name="conb41">[37]!conb41</definedName>
    <definedName name="conb42">[37]!conb42</definedName>
    <definedName name="conb43">[37]!conb43</definedName>
    <definedName name="conb44">[37]!conb44</definedName>
    <definedName name="conb45">[37]!conb45</definedName>
    <definedName name="conb46">[37]!conb46</definedName>
    <definedName name="conb47">[37]!conb47</definedName>
    <definedName name="conb48">[37]!conb48</definedName>
    <definedName name="conb49">[37]!conb49</definedName>
    <definedName name="conb5">[37]!conb5</definedName>
    <definedName name="conb50">[37]!conb50</definedName>
    <definedName name="conb51">[37]!conb51</definedName>
    <definedName name="conb52">[37]!conb52</definedName>
    <definedName name="conb53">[37]!conb53</definedName>
    <definedName name="conb54">[37]!conb54</definedName>
    <definedName name="conb55">[37]!conb55</definedName>
    <definedName name="conb58">[37]!conb58</definedName>
    <definedName name="conb59">[37]!conb59</definedName>
    <definedName name="conb6">[37]!conb6</definedName>
    <definedName name="conb60">[37]!conb60</definedName>
    <definedName name="conb61">[37]!conb61</definedName>
    <definedName name="conb62">[37]!conb62</definedName>
    <definedName name="conb63">[37]!conb63</definedName>
    <definedName name="conb64">[37]!conb64</definedName>
    <definedName name="conb65">[37]!conb65</definedName>
    <definedName name="conb66">[37]!conb66</definedName>
    <definedName name="conb67">[37]!conb67</definedName>
    <definedName name="conb68">[37]!conb68</definedName>
    <definedName name="conb69">[37]!conb69</definedName>
    <definedName name="conb7">[37]!conb7</definedName>
    <definedName name="conb70">[37]!conb70</definedName>
    <definedName name="conb71">[37]!conb71</definedName>
    <definedName name="conb72">[37]!conb72</definedName>
    <definedName name="conb73">[37]!conb73</definedName>
    <definedName name="conb74">[37]!conb74</definedName>
    <definedName name="conb75">[37]!conb75</definedName>
    <definedName name="conb76">[37]!conb76</definedName>
    <definedName name="conb77">[37]!conb77</definedName>
    <definedName name="conb78">[37]!conb78</definedName>
    <definedName name="conb79">[37]!conb79</definedName>
    <definedName name="conb8">[37]!conb8</definedName>
    <definedName name="conb80">[37]!conb80</definedName>
    <definedName name="conb81">[37]!conb81</definedName>
    <definedName name="conb82">[37]!conb82</definedName>
    <definedName name="conb83">[37]!conb83</definedName>
    <definedName name="conb84">[37]!conb84</definedName>
    <definedName name="conb85">[37]!conb85</definedName>
    <definedName name="conb86">[37]!conb86</definedName>
    <definedName name="conb87">[37]!conb87</definedName>
    <definedName name="conb88">[37]!conb88</definedName>
    <definedName name="conb89">[37]!conb89</definedName>
    <definedName name="conb9">[37]!conb9</definedName>
    <definedName name="conb90">[37]!conb90</definedName>
    <definedName name="conb91">[37]!conb91</definedName>
    <definedName name="conb92">[37]!conb92</definedName>
    <definedName name="conb93">[37]!conb93</definedName>
    <definedName name="conb94">[37]!conb94</definedName>
    <definedName name="conb95">[37]!conb95</definedName>
    <definedName name="conb96">[37]!conb96</definedName>
    <definedName name="conb97">[37]!conb97</definedName>
    <definedName name="conb98">[37]!conb98</definedName>
    <definedName name="conb99">[37]!conb99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[38]손익예상!#REF!</definedName>
    <definedName name="CSO">#REF!</definedName>
    <definedName name="CV38재">[28]Sheet6!#REF!</definedName>
    <definedName name="CV8재">[28]Sheet6!#REF!</definedName>
    <definedName name="CVVS2.0SQx2C">#REF!</definedName>
    <definedName name="d">#REF!</definedName>
    <definedName name="d.xls">[17]Sheet1!#REF!</definedName>
    <definedName name="DATA">#REF!</definedName>
    <definedName name="DATA1">[39]판매!$B$3:$AB$1508</definedName>
    <definedName name="DATA2">#REF!</definedName>
    <definedName name="_xlnm.Database">#REF!</definedName>
    <definedName name="Database_MI">[40]가수금대체!#REF!</definedName>
    <definedName name="DE_TS">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5.영업외수지'!#REF!,'[41]4.경비 5.영업외수지'!#REF!</definedName>
    <definedName name="def">#REF!</definedName>
    <definedName name="DEM_RATE">'[42]Actual data'!#REF!</definedName>
    <definedName name="DMK_Rate">[43]Input!#REF!</definedName>
    <definedName name="DNS">'[44]부서별(배부후)_계획'!$B$235</definedName>
    <definedName name="eBiz">#REF!</definedName>
    <definedName name="ele">[45]한계원가!#REF!</definedName>
    <definedName name="ER">[37]!conb103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'[42]Actual data'!#REF!</definedName>
    <definedName name="_xlnm.Extract">[17]Sheet1!#REF!</definedName>
    <definedName name="Extract_MI">[40]가수금대체!#REF!</definedName>
    <definedName name="FEB">#REF!</definedName>
    <definedName name="FeedDivisor">'[36]Weekly Input'!$AP$7</definedName>
    <definedName name="FG46TBTB4RTDKDK">#REF!</definedName>
    <definedName name="FGR53C11R63C11TB3RTCN">[46]유통망계획!#REF!</definedName>
    <definedName name="FGR6C8R8C8TB4RTCN">[46]유통망계획!#REF!</definedName>
    <definedName name="FGR6C9R8C9TB3RTCN">[46]유통망계획!#REF!</definedName>
    <definedName name="FMK_RATE">[43]Input!#REF!</definedName>
    <definedName name="FRF_Rate">'[42]Actual data'!#REF!</definedName>
    <definedName name="fs">#REF!</definedName>
    <definedName name="G">'[47] 견적서'!#REF!</definedName>
    <definedName name="gbp">#REF!</definedName>
    <definedName name="GBP_Rate">[43]Input!#REF!</definedName>
    <definedName name="gc">#REF!</definedName>
    <definedName name="GETMODL">#REF!</definedName>
    <definedName name="GMJA">#REF!</definedName>
    <definedName name="gp">#REF!</definedName>
    <definedName name="HACCP_교육_훈련" localSheetId="0">[48]관리보고서!#REF!</definedName>
    <definedName name="HACCP_교육_훈련">'[49]품질관리 업무'!$A$20</definedName>
    <definedName name="HEAD">#REF!</definedName>
    <definedName name="hi">[50]XL4Poppy!$A$15</definedName>
    <definedName name="HIPVC28">[28]Sheet6!#REF!</definedName>
    <definedName name="HIPVC36">[28]Sheet6!#REF!</definedName>
    <definedName name="hrs">[51]CJE!$E$1</definedName>
    <definedName name="IDC">'[44]부서별(배부후)_계획'!$B$293</definedName>
    <definedName name="INPUTS1">#REF!</definedName>
    <definedName name="INPUTS2">#REF!</definedName>
    <definedName name="INR_RATE">'[42]Actual data'!#REF!</definedName>
    <definedName name="invoice">#REF!</definedName>
    <definedName name="ITEMRET">#REF!</definedName>
    <definedName name="ITEMS">#REF!</definedName>
    <definedName name="ITL_RATE">'[42]Actual data'!#REF!</definedName>
    <definedName name="J">#REF!</definedName>
    <definedName name="JAN">#REF!</definedName>
    <definedName name="jang">#REF!</definedName>
    <definedName name="jc">#REF!</definedName>
    <definedName name="JGCDGNG">#REF!</definedName>
    <definedName name="JGMSGJA">#REF!</definedName>
    <definedName name="K">'[52]2-2.매출분석'!#REF!</definedName>
    <definedName name="KIT">#REF!</definedName>
    <definedName name="KOSPI">OFFSET([25]graph!$B$40,0,0,1,COUNTA([25]graph!$A$40:$IV$40)-1)</definedName>
    <definedName name="KRW_RATE">'[42]Actual data'!#REF!</definedName>
    <definedName name="landsites">#REF!</definedName>
    <definedName name="LIRA_RATE">[43]Input!#REF!</definedName>
    <definedName name="List">#REF!</definedName>
    <definedName name="matrix">#REF!</definedName>
    <definedName name="MATRIX2">#REF!</definedName>
    <definedName name="max">#REF!</definedName>
    <definedName name="MENU">[53]!MENU</definedName>
    <definedName name="MESSAGE">#REF!</definedName>
    <definedName name="MS">OFFSET([25]graph!$B$13,0,0,1,COUNTA([25]graph!$A$13:$IV$13)-1)</definedName>
    <definedName name="MSTemporarySelectionAverage">#REF!</definedName>
    <definedName name="MSTemporarySelectionFAVG">#REF!</definedName>
    <definedName name="MULT">#REF!</definedName>
    <definedName name="MYR_RATE">'[42]Actual data'!#REF!</definedName>
    <definedName name="nam">[17]Sheet1!#REF!</definedName>
    <definedName name="NAME" localSheetId="0">[54]NAME!$A$1:$D$451</definedName>
    <definedName name="NAME">[55]NAME!$A$1:$D$451</definedName>
    <definedName name="name2" localSheetId="0">'[56]CJ Code 기준'!$A$3:$D$446</definedName>
    <definedName name="name2">'[57]CJ Code 기준'!$A$3:$D$446</definedName>
    <definedName name="National_swic">"CS_IND!B$346"</definedName>
    <definedName name="NO">#REF!</definedName>
    <definedName name="nwc">#REF!</definedName>
    <definedName name="OB">#REF!</definedName>
    <definedName name="OP">#REF!</definedName>
    <definedName name="pa">#REF!</definedName>
    <definedName name="PATHNAME">#REF!</definedName>
    <definedName name="PB">#REF!</definedName>
    <definedName name="PBC">#REF!</definedName>
    <definedName name="PBC_List">#REF!</definedName>
    <definedName name="pdc">#REF!</definedName>
    <definedName name="Point_1">'[34]손익분기점 데이터'!$C$9</definedName>
    <definedName name="Point_2">'[34]손익분기점 데이터'!$D$12</definedName>
    <definedName name="pp">#REF!</definedName>
    <definedName name="PPAID">#REF!</definedName>
    <definedName name="Print">[43]Comps!$AT$1:$DD$59,[43]Comps!$B$1:$AR$56</definedName>
    <definedName name="_xlnm.Print_Area" localSheetId="0">'종합생산일보(MES)'!#REF!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T">[53]!PRINTT</definedName>
    <definedName name="PROCEEDS">#REF!</definedName>
    <definedName name="PRODEEDS">#REF!</definedName>
    <definedName name="ProjectName" localSheetId="0">{"Client Name or Project Name"}</definedName>
    <definedName name="ProjectName">{"Client Name or Project Name"}</definedName>
    <definedName name="RAW" localSheetId="0">#REF!</definedName>
    <definedName name="RAW">[58]NAME!$A$1:$B$182</definedName>
    <definedName name="_xlnm.Recorder">#REF!</definedName>
    <definedName name="Reset">#REF!</definedName>
    <definedName name="rng구분">OFFSET([59]데이터입력!$C$7,,,COUNTA([59]데이터입력!$C$7:$C$9997))</definedName>
    <definedName name="rng날짜">OFFSET([59]데이터입력!$B$7,,,COUNTA([59]데이터입력!$B$7:$B$9997))</definedName>
    <definedName name="rng원산지">OFFSET([59]데이터입력!$F$7,,,MATCH("*",[59]데이터입력!$F$7:$F$9997,-1))</definedName>
    <definedName name="rng제품명">OFFSET([59]데이터입력!$E$7,,,COUNTA([59]데이터입력!$E$7:$E$9997))</definedName>
    <definedName name="round">[60]건물!#REF!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[61]배부전!$B$58</definedName>
    <definedName name="SPLICE">#REF!</definedName>
    <definedName name="Standard">'[30](Do not delete)'!$B$1:$B$63</definedName>
    <definedName name="start">#REF!</definedName>
    <definedName name="Status">'[30](Do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OFFSET([25]graph!$B$38,0,0,1,COUNTA([25]graph!$A$38:$IV$38)-1)</definedName>
    <definedName name="W_FX_98">#REF!</definedName>
    <definedName name="W_FX_99">#REF!</definedName>
    <definedName name="WACC">#REF!</definedName>
    <definedName name="WEND">#REF!</definedName>
    <definedName name="WON_RATE">[43]Input!#REF!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'[62]TB(BS)'!#REF!</definedName>
    <definedName name="XRefCopyRangeCount">3</definedName>
    <definedName name="XRefPaste100Row" hidden="1">#REF!</definedName>
    <definedName name="XRefPaste101" hidden="1">'[62]TB(PL)'!#REF!</definedName>
    <definedName name="XRefPaste101Row" hidden="1">#REF!</definedName>
    <definedName name="XRefPaste102" hidden="1">'[62]TB(PL)'!#REF!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'[62]TB(BS)'!#REF!</definedName>
    <definedName name="XRefPaste116Row" hidden="1">#REF!</definedName>
    <definedName name="XRefPaste117" hidden="1">'[62]TB(BS)'!#REF!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'[62]TB(BS)'!#REF!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'[62]TB(BS)'!#REF!</definedName>
    <definedName name="XRefPaste136Row" hidden="1">#REF!</definedName>
    <definedName name="XRefPaste137Row" hidden="1">#REF!</definedName>
    <definedName name="XRefPaste138" hidden="1">'[62]TB(BS)'!#REF!</definedName>
    <definedName name="XRefPaste138Row" hidden="1">#REF!</definedName>
    <definedName name="XRefPaste139Row" hidden="1">#REF!</definedName>
    <definedName name="XRefPaste140" hidden="1">'[62]TB(PL)'!#REF!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'[62]TB(BS)'!#REF!</definedName>
    <definedName name="XRefPaste91Row" hidden="1">#REF!</definedName>
    <definedName name="XRefPaste92" hidden="1">'[62]TB(BS)'!#REF!</definedName>
    <definedName name="XRefPaste92Row" hidden="1">#REF!</definedName>
    <definedName name="XRefPaste93" hidden="1">'[62]TB(BS)'!#REF!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'[62]TB(BS)'!#REF!</definedName>
    <definedName name="XRefPaste96Row" hidden="1">#REF!</definedName>
    <definedName name="XRefPaste97" hidden="1">'[62]TB(BS)'!#REF!</definedName>
    <definedName name="XRefPaste97Row" hidden="1">#REF!</definedName>
    <definedName name="XRefPaste98" hidden="1">'[62]TB(BS)'!#REF!</definedName>
    <definedName name="XRefPaste98Row" hidden="1">#REF!</definedName>
    <definedName name="XRefPaste99" hidden="1">'[62]TB(BS)'!#REF!</definedName>
    <definedName name="XRefPaste99Row" hidden="1">#REF!</definedName>
    <definedName name="XRefPasteRangeCount">246</definedName>
    <definedName name="xta92경전.서TBr23c13r23c36TBr13">[46]유통망계획!#REF!</definedName>
    <definedName name="xta경영계92.서TBr13c7r41c30TBr1">[46]유통망계획!#REF!</definedName>
    <definedName name="YEN_RATE">'[42]Actual data'!#REF!</definedName>
    <definedName name="ㄱㄴㄷㄹ">#REF!</definedName>
    <definedName name="ㄱ쇼ㅓ쇼ㅓ">[35]!Button13_Click</definedName>
    <definedName name="가">[63]총괄!#REF!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 localSheetId="0">[0]!BLCH</definedName>
    <definedName name="건강보험1">[0]!BLCH</definedName>
    <definedName name="결손금">#REF!</definedName>
    <definedName name="경비" localSheetId="0">{10}</definedName>
    <definedName name="경비">{10}</definedName>
    <definedName name="경수" localSheetId="0">[0]!BLCH</definedName>
    <definedName name="경수">[0]!BLCH</definedName>
    <definedName name="경영기획">[61]배부전!$B$4</definedName>
    <definedName name="경쟁_업체_분석_보고" localSheetId="0">[64]관리보고서!$A$11</definedName>
    <definedName name="경쟁_업체_분석_보고">'[49]품질관리 업무'!$A$15</definedName>
    <definedName name="계열사">'[44]부서별(배부후)_계획'!$B$264</definedName>
    <definedName name="계정">#REF!</definedName>
    <definedName name="계정과목">OFFSET([65]정산표!$A$3,0,0,COUNTA([65]정산표!B$1:B$65536)-1,1)</definedName>
    <definedName name="고정비">'[34]손익분기점 데이터'!$E$5</definedName>
    <definedName name="골라인쇄">[37]!골라인쇄</definedName>
    <definedName name="공공">'[44]부서별(배부후)_계획'!$B$62</definedName>
    <definedName name="공정_점검_보고서" localSheetId="0">[48]관리보고서!#REF!</definedName>
    <definedName name="공정_점검_보고서">'[49]품질관리 업무'!$A$8</definedName>
    <definedName name="공주" hidden="1">{#N/A,#N/A,FALSE,"근무시간"}</definedName>
    <definedName name="공지대재고1231">#REF!</definedName>
    <definedName name="광수" localSheetId="0">[0]!BLCH</definedName>
    <definedName name="광수">[0]!BLCH</definedName>
    <definedName name="교육">'[44]부서별(배부후)_계획'!$B$120</definedName>
    <definedName name="구">#REF!</definedName>
    <definedName name="구분" localSheetId="0">[66]Resources!$A$2:$A$11</definedName>
    <definedName name="구분">[67]Resources!$A$2:$A$11</definedName>
    <definedName name="국민건강" localSheetId="0">{10}</definedName>
    <definedName name="국민건강">{10}</definedName>
    <definedName name="귀">#REF!</definedName>
    <definedName name="그룹">[61]배부전!$B$112</definedName>
    <definedName name="그룹영업">'[44]부서별(배부후)_계획'!$B$206</definedName>
    <definedName name="그룹지원">'[44]부서별(배부후)_계획'!$B$177</definedName>
    <definedName name="근태일보">#REF!</definedName>
    <definedName name="금액">OFFSET([65]정산표!$F$3,0,0,COUNTA([65]정산표!B$1:B$65536)-1,2)</definedName>
    <definedName name="기말수탁고">#REF!</definedName>
    <definedName name="기업">#REF!</definedName>
    <definedName name="기업자유_5103">#REF!</definedName>
    <definedName name="기준">[32]data!#REF!</definedName>
    <definedName name="길">#REF!</definedName>
    <definedName name="김">[68]생산직!$U$1:$U$65536</definedName>
    <definedName name="김유정">[37]!conb106</definedName>
    <definedName name="ㄳㄷㅎㄷㄱ">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5.영업외수지'!#REF!,'[69]4.경비 5.영업외수지'!#REF!</definedName>
    <definedName name="ㄴㄴㄴ" localSheetId="0">[0]!BLCH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[70]data!#REF!</definedName>
    <definedName name="나">#REF!</definedName>
    <definedName name="내역서">#REF!</definedName>
    <definedName name="네트웍">'[44]부서별(배부후)_계획'!$B$91</definedName>
    <definedName name="논산_1">'[71]손익분기점 데이터'!$C$9</definedName>
    <definedName name="농장_HACCP_지원_서류_발송_현황" localSheetId="0">[48]관리보고서!#REF!</definedName>
    <definedName name="농장_HACCP_지원_서류_발송_현황">'[49]품질관리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 localSheetId="0">[66]Resources!$C$2:$C$7</definedName>
    <definedName name="담당자">[67]Resources!$C$2:$C$7</definedName>
    <definedName name="당월_원료보고서">'[72]차 례'!#REF!</definedName>
    <definedName name="당월_제품_보고서">'[72]차 례'!#REF!</definedName>
    <definedName name="당좌예금_5102">#REF!</definedName>
    <definedName name="대상">#REF!</definedName>
    <definedName name="대체거래">#REF!</definedName>
    <definedName name="도기두기손익">[73]사료성분등록!#REF!</definedName>
    <definedName name="ㄹ">#REF!</definedName>
    <definedName name="ㄹㅇㄹㄴㄹㄷㅈ">#REF!</definedName>
    <definedName name="ㄹㅊ">[28]Sheet6!#REF!</definedName>
    <definedName name="ㄹ혿ㅅㅎㄱㄷ">#REF!</definedName>
    <definedName name="라">#REF!</definedName>
    <definedName name="ㅁ">[74]bs!$A$6:$IV$6,[74]bs!$A$8:$IV$8,[74]bs!$A$14:$IV$14,[74]bs!$A$19:$IV$19,[74]bs!$A$24:$IV$24,[74]bs!$A$28:$IV$28,[74]bs!$A$30:$IV$30,[74]bs!$A$32:$IV$32,[74]bs!$A$38:$IV$38,[74]bs!$A$43:$IV$43,[74]bs!$A$44:$IV$44,[74]bs!$A$46:$IV$46,[74]bs!$A$50:$IV$50,[74]bs!$A$52:$IV$52,[74]bs!$A$56:$IV$56,[74]bs!$A$58:$IV$58,[74]bs!$A$60:$IV$60</definedName>
    <definedName name="ㅁ1">#REF!</definedName>
    <definedName name="ㅁ137">[73]사료성분등록!#REF!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INDEX([59]데이터입력!$B$7:$B$10000,MATCH(9.999999999E+307,[59]데이터입력!$B$7:$B$10000,1)+1)</definedName>
    <definedName name="매출실적key">#REF!</definedName>
    <definedName name="매출실적月">#REF!</definedName>
    <definedName name="매출액">'[34]손익분기점 데이터'!$C$5</definedName>
    <definedName name="매출원가">#REF!</definedName>
    <definedName name="면역_어린오리" localSheetId="0">'[75]변동보고서(PDI.수분,경도)'!#REF!</definedName>
    <definedName name="면역_어린오리">'[49]오리 제품 분석 보고'!$B$29</definedName>
    <definedName name="면역_육성오리" localSheetId="0">'[75]변동보고서(PDI.수분,경도)'!#REF!</definedName>
    <definedName name="면역_육성오리">'[49]오리 제품 분석 보고'!$B$27</definedName>
    <definedName name="면역_젖먹이">#REF!</definedName>
    <definedName name="모75">[76]CS!$BB$75</definedName>
    <definedName name="목록">#REF!</definedName>
    <definedName name="목표">#REF!</definedName>
    <definedName name="ㅂ" localSheetId="0">{10}</definedName>
    <definedName name="ㅂ">{10}</definedName>
    <definedName name="ㅂㅈㄷㅂㅈㄷㅂ">[70]data!#REF!</definedName>
    <definedName name="반품_발생_처리_보고" localSheetId="0">[48]관리보고서!#REF!</definedName>
    <definedName name="반품_발생_처리_보고">'[49]품질관리 업무'!$A$26</definedName>
    <definedName name="배관자재">[77]사료성분등록!#REF!</definedName>
    <definedName name="배포용작성">[78]!배포용작성</definedName>
    <definedName name="배합도_테스트_보고" localSheetId="0">[48]관리보고서!#REF!</definedName>
    <definedName name="배합도_테스트_보고">'[49]품질관리 업무'!$A$36</definedName>
    <definedName name="법인">#REF!</definedName>
    <definedName name="변동비">'[34]손익분기점 데이터'!$D$5</definedName>
    <definedName name="변화">[77]사료성분등록!#REF!</definedName>
    <definedName name="보수">#REF!</definedName>
    <definedName name="보수현황">#REF!</definedName>
    <definedName name="보통인부노">[28]Sheet6!#REF!</definedName>
    <definedName name="본부">#REF!</definedName>
    <definedName name="본부별배정">#REF!</definedName>
    <definedName name="부서">[79]부서기준!$C$5:$C$77</definedName>
    <definedName name="부적합품_및_장기재고_재처리_방안_및_처리_현황" localSheetId="0">[64]관리보고서!$A$11</definedName>
    <definedName name="부적합품_및_장기재고_재처리_방안_및_처리_현황">'[49]품질관리 업무'!$A$15</definedName>
    <definedName name="분개및수수료계상">#REF!</definedName>
    <definedName name="분석" localSheetId="0">[66]Resources!$A$2:$A$11</definedName>
    <definedName name="분석">[67]Resources!$A$2:$A$11</definedName>
    <definedName name="분쇄2호기">[37]!conb104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 localSheetId="0">[66]Resources!$B$2:$B$7</definedName>
    <definedName name="상태">[67]Resources!$B$2:$B$7</definedName>
    <definedName name="생산관리일정표" hidden="1">#REF!</definedName>
    <definedName name="선급법인세9">'[80]9-1차이내역'!#REF!</definedName>
    <definedName name="선택월">[81]최종전사PL!$C$1</definedName>
    <definedName name="설명">#REF!</definedName>
    <definedName name="세상">#REF!</definedName>
    <definedName name="속속ㄴㅅ">#REF!</definedName>
    <definedName name="솔루션">'[44]부서별(배부후)_계획'!$B$33</definedName>
    <definedName name="쇼ㅓㄱ쇼ㅕㅓㅕ쇼ㅓ">[35]!Button25_Click</definedName>
    <definedName name="수수료계상">#REF!</definedName>
    <definedName name="수출경비">#REF!</definedName>
    <definedName name="수탁고">#REF!</definedName>
    <definedName name="순">[82]최종보고1!#REF!</definedName>
    <definedName name="순서">#REF!</definedName>
    <definedName name="시산표">#REF!</definedName>
    <definedName name="시세계산">[51]CJE!$T$52</definedName>
    <definedName name="시정_조치_요구서" localSheetId="0">[48]관리보고서!#REF!</definedName>
    <definedName name="시정_조치_요구서">'[49]품질관리 업무'!$A$24</definedName>
    <definedName name="시험편">#REF!</definedName>
    <definedName name="식초del">'[83]3월'!$D$5:$D$13,'[83]3월'!$F$5:$G$13,'[83]3월'!$F$15:$G$18,'[83]3월'!$D$15:$D$18,'[83]3월'!$D$20:$D$26,'[83]3월'!$F$20:$G$26,'[83]3월'!$F$28:$G$34,'[83]3월'!$D$28:$D$34,'[83]3월'!$L$5:$M$13,'[83]3월'!$L$15:$M$18,'[83]3월'!$L$20:$M$26,'[83]3월'!$L$28:$M$34,'[83]3월'!$L$36:$M$41,'[83]3월'!$F$36:$G$41,'[83]3월'!$D$36:$D$41,'[83]3월'!$D$43:$D$45,'[83]3월'!$F$43:$G$45,'[83]3월'!$L$43:$M$45,'[83]3월'!$L$47:$M$52,'[83]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[84]sheet1!#REF!</definedName>
    <definedName name="ㅇㄱㅀ">#REF!</definedName>
    <definedName name="ㅇㄹㅇㄹ">#REF!</definedName>
    <definedName name="ㅇㅀ">#REF!</definedName>
    <definedName name="ㅇㅇ" localSheetId="0">[0]!BLCH</definedName>
    <definedName name="ㅇㅇ">[0]!BLCH</definedName>
    <definedName name="ㅇㅇㅇ">#REF!</definedName>
    <definedName name="ㅇㅇㅇㅇ">#REF!</definedName>
    <definedName name="ㅇㅎㄶㅈ">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5.영업외수지'!#REF!,'[85]4.경비 5.영업외수지'!#REF!</definedName>
    <definedName name="아연도28C">[28]Sheet6!#REF!</definedName>
    <definedName name="양계_제품_분석_보고">[48]관리보고서!#REF!</definedName>
    <definedName name="양돈_제품_분석_보고">[48]관리보고서!#REF!</definedName>
    <definedName name="업무상황보고서" localSheetId="0">[64]관리보고서!$A$6</definedName>
    <definedName name="업무상황보고서">[86]관리보고서!$A$9</definedName>
    <definedName name="업무일일보고서" localSheetId="0">[64]관리보고서!$A$7</definedName>
    <definedName name="업무일일보고서">[86]관리보고서!$A$10</definedName>
    <definedName name="업체명" localSheetId="0">[20]매출정보!$D$3:$D$16</definedName>
    <definedName name="업체명">[21]매출정보!$D$3:$D$16</definedName>
    <definedName name="없음">[17]Sheet1!#REF!</definedName>
    <definedName name="연장근무_보고서">'[72]차 례'!#REF!</definedName>
    <definedName name="영남2">[63]총괄!#REF!</definedName>
    <definedName name="영업1본부">#REF!</definedName>
    <definedName name="영업2본부">#REF!</definedName>
    <definedName name="영업부_샘플_분석_요청_현황">[48]관리보고서!#REF!</definedName>
    <definedName name="오리_펠렛_제품_분석_보고">#REF!</definedName>
    <definedName name="오순선">[68]생산직!$A$5:$U$139</definedName>
    <definedName name="외국인급여">#REF!</definedName>
    <definedName name="외부_교육_보고서" localSheetId="0">[48]관리보고서!#REF!</definedName>
    <definedName name="외부_교육_보고서">'[49]품질관리 업무'!$A$37</definedName>
    <definedName name="우선순위" localSheetId="0">[66]Resources!$D$2:$D$6</definedName>
    <definedName name="우선순위">[67]Resources!$D$2:$D$6</definedName>
    <definedName name="운송">'[87]9-1차이내역'!#REF!</definedName>
    <definedName name="운송ㅁ">'[87]9-1차이내역'!#REF!</definedName>
    <definedName name="운송명세">'[87]9-1차이내역'!#REF!</definedName>
    <definedName name="원당곡물">[51]CJE!$C$5</definedName>
    <definedName name="원당곡물시세">[51]CJE!$C$5</definedName>
    <definedName name="원료_컷오프_보고서">'[72]차 례'!#REF!</definedName>
    <definedName name="원본" localSheetId="0">OFFSET([88]업체별챠트!$B$2,[88]업체별챠트!$Q$20,1,1,13)</definedName>
    <definedName name="원본">OFFSET([89]업체별챠트!$B$2,[89]업체별챠트!$Q$20,1,1,13)</definedName>
    <definedName name="원본2" localSheetId="0">OFFSET([88]월별매출!$B$3,[88]월별매출!$R$18,1,1,15)</definedName>
    <definedName name="원본2">OFFSET([89]월별매출!$B$3,[89]월별매출!$R$18,1,1,15)</definedName>
    <definedName name="월간_반품_발생_분석_보고" localSheetId="0">[64]관리보고서!$A$14</definedName>
    <definedName name="월간_반품_발생_분석_보고">'[49]품질관리 업무'!$A$19</definedName>
    <definedName name="월간_부적합품_및_장기재고_발생_분석_보고" localSheetId="0">[64]관리보고서!$A$12</definedName>
    <definedName name="월간_부적합품_및_장기재고_발생_분석_보고">'[49]품질관리 업무'!$A$17</definedName>
    <definedName name="월간_컴플레인_발생_분석_보고" localSheetId="0">[64]관리보고서!$A$13</definedName>
    <definedName name="월간_컴플레인_발생_분석_보고">'[49]품질관리 업무'!$A$18</definedName>
    <definedName name="월중_소모품_구입_현황">'[90]차 례'!#REF!</definedName>
    <definedName name="윙비트6">[84]sheet1!#REF!</definedName>
    <definedName name="유형자산처분2차" localSheetId="0">[0]!BLCH</definedName>
    <definedName name="유형자산처분2차">[0]!BLCH</definedName>
    <definedName name="이">#REF!</definedName>
    <definedName name="이경희">[53]!BLCH</definedName>
    <definedName name="이상">#REF!</definedName>
    <definedName name="이익기여도">#REF!</definedName>
    <definedName name="이자">#REF!</definedName>
    <definedName name="인간">#REF!</definedName>
    <definedName name="인도">[51]CJE!$A$1</definedName>
    <definedName name="인생">#REF!</definedName>
    <definedName name="인원수">#REF!</definedName>
    <definedName name="일반관리비">#REF!</definedName>
    <definedName name="일일_공정_점검_일지" localSheetId="0">#REF!</definedName>
    <definedName name="일일_공정_점검_일지">'[49]공정 점검 보고서'!$C$1</definedName>
    <definedName name="일일_입고_원료_검수_일지_수입">#REF!</definedName>
    <definedName name="일일_펠렛효율">'[72]차 례'!#REF!</definedName>
    <definedName name="입고_원료_검수_보고">[48]관리보고서!#REF!</definedName>
    <definedName name="자산">#REF!</definedName>
    <definedName name="자산번호">#REF!</definedName>
    <definedName name="자산처분4차" localSheetId="0">[0]!BLCH</definedName>
    <definedName name="자산처분4차">[0]!BLCH</definedName>
    <definedName name="자유">#REF!</definedName>
    <definedName name="작업재">#REF!</definedName>
    <definedName name="장부계산">[51]CJE!$Z$52:$AD$60</definedName>
    <definedName name="저압케이블공노">[28]Sheet6!#REF!</definedName>
    <definedName name="전략">[61]배부전!$B$166</definedName>
    <definedName name="전사">#REF!</definedName>
    <definedName name="정류기">[91]sheet1!#REF!</definedName>
    <definedName name="정류기재">[28]Sheet6!#REF!</definedName>
    <definedName name="제분원료">[51]CJE!$T$52</definedName>
    <definedName name="제조원가">'[92]2-2.매출분석'!#REF!</definedName>
    <definedName name="제조투입원가비교_Button1_Click">[35]!제조투입원가비교_Button1_Click</definedName>
    <definedName name="제품_개선_요청서" localSheetId="0">[48]관리보고서!#REF!</definedName>
    <definedName name="제품_개선_요청서">'[49]품질관리 업무'!$A$23</definedName>
    <definedName name="제품_컷오프보고서">'[93]차 례'!#REF!</definedName>
    <definedName name="제품_품질_정보서_발송_현황" localSheetId="0">[48]관리보고서!#REF!</definedName>
    <definedName name="제품_품질_정보서_발송_현황">'[49]품질관리 업무'!$A$21</definedName>
    <definedName name="제품코드">#REF!</definedName>
    <definedName name="조가선재">[28]Sheet6!#REF!</definedName>
    <definedName name="조정" hidden="1">#REF!</definedName>
    <definedName name="주간_교육_보고서" localSheetId="0">[48]관리보고서!#REF!</definedName>
    <definedName name="주간_교육_보고서">'[49]품질관리 업무'!$A$16</definedName>
    <definedName name="주요_원료_비중_입자도_분석_보고" localSheetId="0">[64]관리보고서!$A$7</definedName>
    <definedName name="주요_원료_비중_입자도_분석_보고">'[49]품질관리 업무'!$A$11</definedName>
    <definedName name="주요_품목_비중_입자도_분석_보고" localSheetId="0">[64]관리보고서!$A$6</definedName>
    <definedName name="주요_품목_비중_입자도_분석_보고">'[49]품질관리 업무'!$A$10</definedName>
    <definedName name="중기운전사">#REF!</definedName>
    <definedName name="진짜살림">[37]!진짜살림</definedName>
    <definedName name="진행율" localSheetId="0">[66]Resources!$E$2:$E$12</definedName>
    <definedName name="진행율">[67]Resources!$E$2:$E$12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[94]!배포용작성</definedName>
    <definedName name="추가보수산출근거" localSheetId="0">[95]영업점별목표산출!$B$5:$L$64</definedName>
    <definedName name="추가보수산출근거">[96]영업점별목표산출!$B$5:$L$64</definedName>
    <definedName name="출금요청서퇴" hidden="1">{#N/A,#N/A,FALSE,"근무시간"}</definedName>
    <definedName name="출장_보고서" localSheetId="0">[48]관리보고서!#REF!</definedName>
    <definedName name="출장_보고서">'[49]품질관리 업무'!$A$29</definedName>
    <definedName name="취소">[37]!취소</definedName>
    <definedName name="측정함">#REF!</definedName>
    <definedName name="ㅋ">#REF!</definedName>
    <definedName name="컴플레인_방지_위원회_컴플레인_접수_시트" localSheetId="0">[64]관리보고서!$A$20</definedName>
    <definedName name="컴플레인_방지_위원회_컴플레인_접수_시트">'[49]품질관리 업무'!$A$25</definedName>
    <definedName name="컴플레인_접수_및_처리_현황" localSheetId="0">[48]관리보고서!#REF!</definedName>
    <definedName name="컴플레인_접수_및_처리_현황">'[49]품질관리 업무'!$A$21</definedName>
    <definedName name="케이블공노">[28]Sheet6!#REF!</definedName>
    <definedName name="코드">#REF!</definedName>
    <definedName name="코드표">#REF!</definedName>
    <definedName name="콤프">#REF!</definedName>
    <definedName name="템플리트모듈1" localSheetId="0">[0]!BLCH</definedName>
    <definedName name="템플리트모듈1">[0]!BLCH</definedName>
    <definedName name="템플리트모듈2" localSheetId="0">[0]!BLCH</definedName>
    <definedName name="템플리트모듈2">[0]!BLCH</definedName>
    <definedName name="템플리트모듈3" localSheetId="0">[0]!BLCH</definedName>
    <definedName name="템플리트모듈3">[0]!BLCH</definedName>
    <definedName name="템플리트모듈4" localSheetId="0">[0]!BLCH</definedName>
    <definedName name="템플리트모듈4">[0]!BLCH</definedName>
    <definedName name="템플리트모듈5" localSheetId="0">[0]!BLCH</definedName>
    <definedName name="템플리트모듈5">[0]!BLCH</definedName>
    <definedName name="템플리트모듈6" localSheetId="0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[48]관리보고서!#REF!</definedName>
    <definedName name="편집2" hidden="1">{#N/A,#N/A,FALSE,"근무시간"}</definedName>
    <definedName name="평균" localSheetId="0">[20]매출정보!$Q$3:$Q$16</definedName>
    <definedName name="평균">[21]매출정보!$Q$3:$Q$16</definedName>
    <definedName name="평잔" localSheetId="0">[97]연평잔!$A$1:$B$70</definedName>
    <definedName name="평잔">[98]연평잔!$A$1:$B$70</definedName>
    <definedName name="포상">#REF!</definedName>
    <definedName name="품목">#REF!</definedName>
    <definedName name="품질관리_월간_계획표" localSheetId="0">[64]관리보고서!$A$17</definedName>
    <definedName name="품질관리_월간_계획표">'[49]품질관리 업무'!$A$22</definedName>
    <definedName name="프로">[61]배부전!$B$220</definedName>
    <definedName name="프리미엄_어린오리" localSheetId="0">'[75]변동보고서(PDI.수분,경도)'!#REF!</definedName>
    <definedName name="프리미엄_어린오리">'[49]오리 제품 분석 보고'!$B$30</definedName>
    <definedName name="프리미엄_육성오리" localSheetId="0">'[75]변동보고서(PDI.수분,경도)'!#REF!</definedName>
    <definedName name="프리미엄_육성오리">'[49]오리 제품 분석 보고'!$B$28</definedName>
    <definedName name="프리미엄_젖먹이">#REF!</definedName>
    <definedName name="플랜트노">[28]Sheet6!#REF!</definedName>
    <definedName name="ㅎㄽ">#REF!</definedName>
    <definedName name="하반기">#REF!</definedName>
    <definedName name="한나라방역공사">[77]사료성분등록!#REF!</definedName>
    <definedName name="합계" localSheetId="0">[20]매출정보!$R$3:$R$16</definedName>
    <definedName name="합계">[21]매출정보!$R$3:$R$16</definedName>
    <definedName name="합잔">[99]data!$A$1:$G$215</definedName>
    <definedName name="항목2">[79]편성지침!$D$11:$D$193</definedName>
    <definedName name="현금거래_5300">#REF!</definedName>
    <definedName name="현금출납장">#REF!</definedName>
    <definedName name="현대">[100]지급어음!$B$28</definedName>
    <definedName name="현대내자터미널">#REF!</definedName>
    <definedName name="現代綜合商事經由分">#REF!</definedName>
    <definedName name="호호">[101]TS!#REF!,[101]TS!#REF!,[101]TS!#REF!,[101]TS!#REF!,[101]TS!#REF!,[101]TS!#REF!,[101]TS!#REF!,[101]TS!#REF!,[101]TS!#REF!,[101]TS!#REF!,[101]TS!#REF!,[101]TS!#REF!,[101]TS!#REF!,[101]TS!#REF!,[101]TS!#REF!,[101]TS!#REF!,[101]TS!#REF!,[101]TS!#REF!,[101]TS!#REF!,[101]TS!#REF!</definedName>
    <definedName name="환기덕트공사">[84]sheet1!#REF!</definedName>
    <definedName name="회사명">[102]예산사용내역!$L$19:$L$20</definedName>
    <definedName name="ㅓ쇼ㅓㄱ서ㅜ">[35]!Button26_Click</definedName>
    <definedName name="ㅗㅓㅅㅎ">#REF!</definedName>
    <definedName name="ㅜ">'[33]9-1차이내역'!#REF!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6" l="1"/>
  <c r="K33" i="6"/>
  <c r="J33" i="6"/>
  <c r="L32" i="6"/>
  <c r="K32" i="6"/>
  <c r="J32" i="6"/>
  <c r="L31" i="6"/>
  <c r="K31" i="6"/>
  <c r="J31" i="6"/>
  <c r="L30" i="6"/>
  <c r="K30" i="6"/>
  <c r="J30" i="6"/>
  <c r="L29" i="6"/>
  <c r="K29" i="6"/>
  <c r="J29" i="6"/>
  <c r="L28" i="6"/>
  <c r="K28" i="6"/>
  <c r="J28" i="6"/>
  <c r="L27" i="6"/>
  <c r="K27" i="6"/>
  <c r="J27" i="6"/>
  <c r="L26" i="6"/>
  <c r="K26" i="6"/>
  <c r="J26" i="6"/>
  <c r="L25" i="6"/>
  <c r="K25" i="6"/>
  <c r="J25" i="6"/>
  <c r="L24" i="6"/>
  <c r="K24" i="6"/>
  <c r="J24" i="6"/>
  <c r="L22" i="6"/>
  <c r="K22" i="6"/>
  <c r="J22" i="6"/>
  <c r="L21" i="6"/>
  <c r="K21" i="6"/>
  <c r="J21" i="6"/>
  <c r="C20" i="6"/>
  <c r="D14" i="6"/>
  <c r="D13" i="6"/>
  <c r="D12" i="6"/>
  <c r="D11" i="6"/>
  <c r="D10" i="6"/>
  <c r="D9" i="6"/>
  <c r="D8" i="6"/>
  <c r="D7" i="6"/>
  <c r="D6" i="6"/>
  <c r="D15" i="6" s="1"/>
</calcChain>
</file>

<file path=xl/sharedStrings.xml><?xml version="1.0" encoding="utf-8"?>
<sst xmlns="http://schemas.openxmlformats.org/spreadsheetml/2006/main" count="77" uniqueCount="71">
  <si>
    <t>제품부 생산일보</t>
    <phoneticPr fontId="1" type="noConversion"/>
  </si>
  <si>
    <t>1. 인원현황</t>
    <phoneticPr fontId="1" type="noConversion"/>
  </si>
  <si>
    <t>팀구분</t>
    <phoneticPr fontId="1" type="noConversion"/>
  </si>
  <si>
    <t>파트구분</t>
    <phoneticPr fontId="1" type="noConversion"/>
  </si>
  <si>
    <t>작업인원</t>
    <phoneticPr fontId="1" type="noConversion"/>
  </si>
  <si>
    <t>주간</t>
    <phoneticPr fontId="1" type="noConversion"/>
  </si>
  <si>
    <t>야간</t>
    <phoneticPr fontId="1" type="noConversion"/>
  </si>
  <si>
    <t>기술팀</t>
    <phoneticPr fontId="1" type="noConversion"/>
  </si>
  <si>
    <t>통제파트</t>
    <phoneticPr fontId="1" type="noConversion"/>
  </si>
  <si>
    <t>이근희</t>
    <phoneticPr fontId="1" type="noConversion"/>
  </si>
  <si>
    <t>김도엽</t>
    <phoneticPr fontId="1" type="noConversion"/>
  </si>
  <si>
    <t>김빛찬</t>
  </si>
  <si>
    <t>가공파트</t>
    <phoneticPr fontId="1" type="noConversion"/>
  </si>
  <si>
    <t>황범락</t>
    <phoneticPr fontId="1" type="noConversion"/>
  </si>
  <si>
    <t>박종선</t>
    <phoneticPr fontId="1" type="noConversion"/>
  </si>
  <si>
    <t>생산1팀</t>
    <phoneticPr fontId="1" type="noConversion"/>
  </si>
  <si>
    <t>원료파트</t>
    <phoneticPr fontId="1" type="noConversion"/>
  </si>
  <si>
    <t>조보연</t>
    <phoneticPr fontId="1" type="noConversion"/>
  </si>
  <si>
    <t>장현석</t>
    <phoneticPr fontId="1" type="noConversion"/>
  </si>
  <si>
    <t>뚤시</t>
    <phoneticPr fontId="1" type="noConversion"/>
  </si>
  <si>
    <t>프램</t>
    <phoneticPr fontId="1" type="noConversion"/>
  </si>
  <si>
    <t>대환파트</t>
    <phoneticPr fontId="1" type="noConversion"/>
  </si>
  <si>
    <t>김규하</t>
    <phoneticPr fontId="1" type="noConversion"/>
  </si>
  <si>
    <t>이종면</t>
    <phoneticPr fontId="1" type="noConversion"/>
  </si>
  <si>
    <t>시윰</t>
    <phoneticPr fontId="1" type="noConversion"/>
  </si>
  <si>
    <t>람</t>
    <phoneticPr fontId="1" type="noConversion"/>
  </si>
  <si>
    <t>생산2팀</t>
    <phoneticPr fontId="1" type="noConversion"/>
  </si>
  <si>
    <t>지대포장</t>
    <phoneticPr fontId="1" type="noConversion"/>
  </si>
  <si>
    <t>지백규</t>
    <phoneticPr fontId="1" type="noConversion"/>
  </si>
  <si>
    <t>김관섭</t>
    <phoneticPr fontId="1" type="noConversion"/>
  </si>
  <si>
    <t>톤백포장</t>
    <phoneticPr fontId="1" type="noConversion"/>
  </si>
  <si>
    <t>조진호</t>
    <phoneticPr fontId="1" type="noConversion"/>
  </si>
  <si>
    <t>카사훈</t>
    <phoneticPr fontId="1" type="noConversion"/>
  </si>
  <si>
    <t>장영득</t>
    <phoneticPr fontId="1" type="noConversion"/>
  </si>
  <si>
    <t>톤백적재</t>
    <phoneticPr fontId="1" type="noConversion"/>
  </si>
  <si>
    <t>김학성</t>
    <phoneticPr fontId="1" type="noConversion"/>
  </si>
  <si>
    <t>김근묵</t>
    <phoneticPr fontId="1" type="noConversion"/>
  </si>
  <si>
    <t>아베베</t>
    <phoneticPr fontId="1" type="noConversion"/>
  </si>
  <si>
    <t>지대상차</t>
    <phoneticPr fontId="1" type="noConversion"/>
  </si>
  <si>
    <t>이종수</t>
    <phoneticPr fontId="1" type="noConversion"/>
  </si>
  <si>
    <t>김재웅</t>
    <phoneticPr fontId="1" type="noConversion"/>
  </si>
  <si>
    <t>톤백상차</t>
    <phoneticPr fontId="1" type="noConversion"/>
  </si>
  <si>
    <t>유랑복</t>
    <phoneticPr fontId="1" type="noConversion"/>
  </si>
  <si>
    <t>이선호</t>
    <phoneticPr fontId="1" type="noConversion"/>
  </si>
  <si>
    <t>서용원</t>
    <phoneticPr fontId="1" type="noConversion"/>
  </si>
  <si>
    <t>전체</t>
    <phoneticPr fontId="1" type="noConversion"/>
  </si>
  <si>
    <t>2. 생산현황</t>
    <phoneticPr fontId="1" type="noConversion"/>
  </si>
  <si>
    <t>구분</t>
  </si>
  <si>
    <t>작업시간</t>
    <phoneticPr fontId="1" type="noConversion"/>
  </si>
  <si>
    <t>공제시간</t>
  </si>
  <si>
    <t>실작업시간</t>
  </si>
  <si>
    <t>근무시간</t>
  </si>
  <si>
    <t>로스시간</t>
  </si>
  <si>
    <t>작업량</t>
    <phoneticPr fontId="1" type="noConversion"/>
  </si>
  <si>
    <t>생산성</t>
  </si>
  <si>
    <t>M/H</t>
  </si>
  <si>
    <t>M/P</t>
  </si>
  <si>
    <t>원료하차</t>
  </si>
  <si>
    <t>원료투입</t>
    <phoneticPr fontId="1" type="noConversion"/>
  </si>
  <si>
    <t>마이크로빈</t>
  </si>
  <si>
    <t>공정창고</t>
  </si>
  <si>
    <t>분쇄</t>
    <phoneticPr fontId="1" type="noConversion"/>
  </si>
  <si>
    <t>배합</t>
    <phoneticPr fontId="1" type="noConversion"/>
  </si>
  <si>
    <t>주간</t>
  </si>
  <si>
    <t>야간</t>
  </si>
  <si>
    <t>가공</t>
    <phoneticPr fontId="1" type="noConversion"/>
  </si>
  <si>
    <t>지대포장</t>
    <phoneticPr fontId="98" type="noConversion"/>
  </si>
  <si>
    <t>톤백포장</t>
    <phoneticPr fontId="98" type="noConversion"/>
  </si>
  <si>
    <t>지대상차</t>
  </si>
  <si>
    <t>톤백상차</t>
    <phoneticPr fontId="98" type="noConversion"/>
  </si>
  <si>
    <t>대용유</t>
    <phoneticPr fontId="9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</si>
</sst>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4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  <numFmt numFmtId="255" formatCode="[$-F800]dddd\,\ mmmm\ dd\,\ yyyy"/>
    <numFmt numFmtId="256" formatCode="#,##0_ "/>
    <numFmt numFmtId="257" formatCode="0_);[Red]\(0\)"/>
    <numFmt numFmtId="258" formatCode="0.00_);[Red]\(0.00\)"/>
    <numFmt numFmtId="259" formatCode="#,##0_);[Red]\(#,##0\)"/>
    <numFmt numFmtId="260" formatCode="0.0_);[Red]\(0.0\)"/>
    <numFmt numFmtId="261" formatCode="mm&quot;월&quot;\ dd&quot;일&quot;\ &quot;통&quot;&quot;제&quot;&quot;보&quot;&quot;고&quot;&quot;서&quot;"/>
    <numFmt numFmtId="262" formatCode="##&quot;명&quot;"/>
    <numFmt numFmtId="263" formatCode="yy\.mm\.dd"/>
    <numFmt numFmtId="264" formatCode="yy\.mm\.dd\(aaa\)"/>
    <numFmt numFmtId="265" formatCode="#&quot;명&quot;"/>
    <numFmt numFmtId="266" formatCode="#,##0.00_);[Red]\(#,##0.00\)"/>
  </numFmts>
  <fonts count="10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/>
      <right style="medium">
        <color theme="1"/>
      </right>
      <top style="thin">
        <color theme="1"/>
      </top>
      <bottom style="hair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/>
      <top style="hair">
        <color theme="1"/>
      </top>
      <bottom style="thin">
        <color theme="1"/>
      </bottom>
      <diagonal/>
    </border>
    <border>
      <left/>
      <right style="medium">
        <color theme="1"/>
      </right>
      <top style="hair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hair">
        <color theme="1"/>
      </top>
      <bottom style="medium">
        <color theme="1"/>
      </bottom>
      <diagonal/>
    </border>
    <border>
      <left/>
      <right/>
      <top style="hair">
        <color theme="1"/>
      </top>
      <bottom style="medium">
        <color theme="1"/>
      </bottom>
      <diagonal/>
    </border>
    <border>
      <left/>
      <right style="medium">
        <color theme="1"/>
      </right>
      <top style="hair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265">
    <xf numFmtId="0" fontId="0" fillId="0" borderId="0">
      <alignment vertical="center"/>
    </xf>
    <xf numFmtId="0" fontId="104" fillId="0" borderId="0"/>
    <xf numFmtId="0" fontId="4" fillId="0" borderId="0">
      <alignment vertical="center"/>
    </xf>
    <xf numFmtId="0" fontId="9" fillId="0" borderId="0">
      <protection locked="0"/>
    </xf>
    <xf numFmtId="0" fontId="5" fillId="0" borderId="0">
      <protection locked="0"/>
    </xf>
    <xf numFmtId="219" fontId="92" fillId="0" borderId="0" applyFont="0" applyFill="0" applyBorder="0" applyAlignment="0" applyProtection="0"/>
    <xf numFmtId="220" fontId="92" fillId="0" borderId="0" applyFont="0" applyFill="0" applyBorder="0" applyAlignment="0" applyProtection="0"/>
    <xf numFmtId="0" fontId="11" fillId="0" borderId="33">
      <protection locked="0"/>
    </xf>
    <xf numFmtId="0" fontId="5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5" fillId="0" borderId="0"/>
    <xf numFmtId="0" fontId="96" fillId="0" borderId="0" applyNumberFormat="0" applyFont="0" applyFill="0" applyBorder="0" applyProtection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63" fillId="0" borderId="0">
      <alignment vertical="center"/>
    </xf>
    <xf numFmtId="0" fontId="95" fillId="0" borderId="0">
      <alignment vertical="center"/>
    </xf>
    <xf numFmtId="0" fontId="9" fillId="0" borderId="0"/>
    <xf numFmtId="0" fontId="63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/>
    <xf numFmtId="0" fontId="20" fillId="0" borderId="0">
      <alignment vertical="center"/>
    </xf>
    <xf numFmtId="0" fontId="63" fillId="0" borderId="0"/>
    <xf numFmtId="0" fontId="63" fillId="0" borderId="0"/>
    <xf numFmtId="0" fontId="82" fillId="0" borderId="0">
      <alignment vertical="center"/>
    </xf>
    <xf numFmtId="0" fontId="5" fillId="0" borderId="0">
      <alignment vertical="center"/>
    </xf>
    <xf numFmtId="0" fontId="63" fillId="0" borderId="0"/>
    <xf numFmtId="0" fontId="5" fillId="0" borderId="0">
      <alignment vertical="center"/>
    </xf>
    <xf numFmtId="0" fontId="9" fillId="0" borderId="0"/>
    <xf numFmtId="0" fontId="63" fillId="0" borderId="0"/>
    <xf numFmtId="0" fontId="20" fillId="0" borderId="0">
      <alignment vertical="center"/>
    </xf>
    <xf numFmtId="0" fontId="5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0"/>
    <xf numFmtId="0" fontId="44" fillId="0" borderId="0">
      <alignment vertical="top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3" fillId="0" borderId="0"/>
    <xf numFmtId="0" fontId="93" fillId="0" borderId="0">
      <alignment vertical="center"/>
    </xf>
    <xf numFmtId="0" fontId="5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63" fillId="0" borderId="0"/>
    <xf numFmtId="0" fontId="44" fillId="0" borderId="0">
      <alignment vertical="top"/>
    </xf>
    <xf numFmtId="0" fontId="20" fillId="0" borderId="0">
      <alignment vertical="center"/>
    </xf>
    <xf numFmtId="0" fontId="20" fillId="0" borderId="0">
      <alignment vertical="center"/>
    </xf>
    <xf numFmtId="37" fontId="9" fillId="0" borderId="0"/>
    <xf numFmtId="0" fontId="21" fillId="0" borderId="0">
      <alignment vertical="center"/>
    </xf>
    <xf numFmtId="0" fontId="20" fillId="0" borderId="0">
      <alignment vertical="center"/>
    </xf>
    <xf numFmtId="0" fontId="10" fillId="0" borderId="0"/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5" fillId="0" borderId="0">
      <protection locked="0"/>
    </xf>
    <xf numFmtId="254" fontId="92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86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253" fontId="92" fillId="0" borderId="0" applyFont="0" applyFill="0" applyBorder="0" applyAlignment="0" applyProtection="0"/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3" fontId="9" fillId="0" borderId="4"/>
    <xf numFmtId="220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9" fillId="0" borderId="0"/>
    <xf numFmtId="252" fontId="9" fillId="0" borderId="0" applyFont="0" applyFill="0" applyBorder="0" applyAlignment="0" applyProtection="0"/>
    <xf numFmtId="0" fontId="9" fillId="0" borderId="0" applyNumberFormat="0" applyFont="0" applyFill="0" applyBorder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186" fontId="91" fillId="0" borderId="0" applyFont="0" applyFill="0" applyBorder="0" applyAlignment="0" applyProtection="0"/>
    <xf numFmtId="4" fontId="11" fillId="0" borderId="0">
      <protection locked="0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90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89" fillId="0" borderId="0" applyFont="0" applyFill="0" applyBorder="0" applyAlignment="0" applyProtection="0"/>
    <xf numFmtId="25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51" fontId="5" fillId="0" borderId="0" applyFont="0" applyFill="0" applyBorder="0" applyAlignment="0" applyProtection="0"/>
    <xf numFmtId="251" fontId="5" fillId="0" borderId="0" applyFont="0" applyFill="0" applyBorder="0" applyAlignment="0" applyProtection="0"/>
    <xf numFmtId="250" fontId="89" fillId="0" borderId="0" applyFont="0" applyFill="0" applyBorder="0" applyAlignment="0" applyProtection="0"/>
    <xf numFmtId="250" fontId="89" fillId="0" borderId="0" applyFont="0" applyFill="0" applyBorder="0" applyAlignment="0" applyProtection="0"/>
    <xf numFmtId="250" fontId="89" fillId="0" borderId="0" applyFont="0" applyFill="0" applyBorder="0" applyAlignment="0" applyProtection="0"/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10" fillId="0" borderId="0"/>
    <xf numFmtId="0" fontId="6" fillId="0" borderId="0">
      <protection locked="0"/>
    </xf>
    <xf numFmtId="0" fontId="10" fillId="0" borderId="0"/>
    <xf numFmtId="176" fontId="6" fillId="0" borderId="0">
      <protection locked="0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41" fillId="24" borderId="8" applyNumberFormat="0" applyAlignment="0" applyProtection="0">
      <alignment vertical="center"/>
    </xf>
    <xf numFmtId="0" fontId="41" fillId="24" borderId="8" applyNumberFormat="0" applyAlignment="0" applyProtection="0">
      <alignment vertical="center"/>
    </xf>
    <xf numFmtId="0" fontId="41" fillId="24" borderId="8" applyNumberFormat="0" applyAlignment="0" applyProtection="0">
      <alignment vertical="center"/>
    </xf>
    <xf numFmtId="0" fontId="41" fillId="24" borderId="8" applyNumberFormat="0" applyAlignment="0" applyProtection="0">
      <alignment vertical="center"/>
    </xf>
    <xf numFmtId="0" fontId="41" fillId="24" borderId="8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7" fillId="0" borderId="0"/>
    <xf numFmtId="249" fontId="7" fillId="0" borderId="0" applyFill="0" applyBorder="0" applyProtection="0">
      <alignment horizontal="center"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176" fontId="83" fillId="0" borderId="0">
      <protection locked="0"/>
    </xf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" borderId="3" applyNumberFormat="0" applyFont="0" applyAlignment="0" applyProtection="0">
      <alignment vertical="center"/>
    </xf>
    <xf numFmtId="0" fontId="20" fillId="2" borderId="3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38" fontId="81" fillId="0" borderId="0" applyFont="0" applyFill="0" applyBorder="0" applyAlignment="0" applyProtection="0"/>
    <xf numFmtId="40" fontId="81" fillId="0" borderId="0" applyFon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11" fillId="0" borderId="0">
      <protection locked="0"/>
    </xf>
    <xf numFmtId="0" fontId="79" fillId="0" borderId="21">
      <alignment vertical="center"/>
    </xf>
    <xf numFmtId="248" fontId="5" fillId="0" borderId="0" applyFont="0" applyFill="0" applyBorder="0" applyAlignment="0" applyProtection="0"/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78" fillId="0" borderId="5">
      <alignment vertical="center"/>
    </xf>
    <xf numFmtId="0" fontId="14" fillId="0" borderId="0">
      <protection locked="0"/>
    </xf>
    <xf numFmtId="0" fontId="14" fillId="0" borderId="0">
      <protection locked="0"/>
    </xf>
    <xf numFmtId="0" fontId="9" fillId="0" borderId="0">
      <protection locked="0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6" fillId="0" borderId="0"/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0" fontId="77" fillId="43" borderId="46" applyNumberFormat="0" applyProtection="0">
      <alignment vertical="center"/>
    </xf>
    <xf numFmtId="247" fontId="7" fillId="0" borderId="0" applyFont="0" applyFill="0" applyBorder="0" applyAlignment="0" applyProtection="0">
      <alignment horizontal="right" vertical="top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246" fontId="46" fillId="0" borderId="0" applyFont="0" applyFill="0" applyBorder="0" applyAlignment="0" applyProtection="0"/>
    <xf numFmtId="245" fontId="75" fillId="0" borderId="16" applyFont="0" applyFill="0" applyBorder="0" applyAlignment="0" applyProtection="0"/>
    <xf numFmtId="244" fontId="46" fillId="0" borderId="0" applyFont="0" applyFill="0" applyBorder="0" applyAlignment="0"/>
    <xf numFmtId="230" fontId="7" fillId="0" borderId="0" applyFont="0" applyFill="0" applyBorder="0" applyProtection="0">
      <alignment horizontal="right" vertical="center"/>
    </xf>
    <xf numFmtId="243" fontId="7" fillId="0" borderId="0" applyFont="0" applyFill="0" applyBorder="0" applyProtection="0">
      <alignment horizontal="right" vertical="center"/>
    </xf>
    <xf numFmtId="3" fontId="10" fillId="0" borderId="0" applyFont="0" applyFill="0" applyBorder="0" applyAlignment="0" applyProtection="0"/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4" fillId="0" borderId="4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13" fillId="0" borderId="0"/>
    <xf numFmtId="0" fontId="13" fillId="0" borderId="0"/>
    <xf numFmtId="49" fontId="72" fillId="42" borderId="0" applyFont="0" applyFill="0" applyBorder="0" applyProtection="0">
      <alignment horizontal="left" vertical="top" wrapText="1"/>
    </xf>
    <xf numFmtId="0" fontId="46" fillId="0" borderId="20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44" applyNumberFormat="0" applyFont="0" applyFill="0" applyAlignment="0" applyProtection="0"/>
    <xf numFmtId="0" fontId="45" fillId="0" borderId="19" applyNumberFormat="0" applyFont="0" applyFill="0" applyAlignment="0" applyProtection="0"/>
    <xf numFmtId="0" fontId="71" fillId="41" borderId="18" applyFill="0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71" fillId="40" borderId="17">
      <alignment horizontal="center" vertical="center" wrapText="1"/>
    </xf>
    <xf numFmtId="49" fontId="46" fillId="0" borderId="15" applyNumberFormat="0" applyFill="0" applyAlignment="0"/>
    <xf numFmtId="0" fontId="59" fillId="0" borderId="0"/>
    <xf numFmtId="0" fontId="46" fillId="0" borderId="0"/>
    <xf numFmtId="0" fontId="46" fillId="0" borderId="16" applyNumberFormat="0" applyFont="0" applyFill="0" applyAlignment="0" applyProtection="0"/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70" fillId="33" borderId="42" applyNumberFormat="0" applyProtection="0">
      <alignment horizontal="right" vertical="center"/>
    </xf>
    <xf numFmtId="4" fontId="69" fillId="39" borderId="0" applyNumberFormat="0" applyProtection="0">
      <alignment horizontal="left" vertical="center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0" fontId="44" fillId="30" borderId="42" applyNumberFormat="0" applyProtection="0">
      <alignment horizontal="left" vertical="top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44" fillId="35" borderId="42" applyNumberFormat="0" applyProtection="0">
      <alignment horizontal="left" vertical="center" indent="1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68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4" fontId="44" fillId="33" borderId="42" applyNumberFormat="0" applyProtection="0">
      <alignment horizontal="right" vertical="center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0" fontId="44" fillId="38" borderId="42" applyNumberFormat="0" applyProtection="0">
      <alignment horizontal="left" vertical="top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44" fillId="38" borderId="42" applyNumberFormat="0" applyProtection="0">
      <alignment horizontal="left" vertical="center" indent="1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68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4" fontId="44" fillId="38" borderId="42" applyNumberFormat="0" applyProtection="0">
      <alignment vertical="center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top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7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top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6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top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0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top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0" fontId="10" fillId="34" borderId="42" applyNumberFormat="0" applyProtection="0">
      <alignment horizontal="left" vertical="center" indent="1"/>
    </xf>
    <xf numFmtId="4" fontId="44" fillId="30" borderId="0" applyNumberFormat="0" applyProtection="0">
      <alignment horizontal="left" vertical="center" indent="1"/>
    </xf>
    <xf numFmtId="4" fontId="44" fillId="33" borderId="0" applyNumberFormat="0" applyProtection="0">
      <alignment horizontal="left" vertical="center" indent="1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44" fillId="35" borderId="42" applyNumberFormat="0" applyProtection="0">
      <alignment horizontal="right" vertical="center"/>
    </xf>
    <xf numFmtId="4" fontId="67" fillId="34" borderId="0" applyNumberFormat="0" applyProtection="0">
      <alignment horizontal="left" vertical="center" indent="1"/>
    </xf>
    <xf numFmtId="4" fontId="44" fillId="33" borderId="0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65" fillId="32" borderId="43" applyNumberFormat="0" applyProtection="0">
      <alignment horizontal="left" vertical="center" indent="1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13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3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1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22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8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14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20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12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44" fillId="6" borderId="42" applyNumberFormat="0" applyProtection="0">
      <alignment horizontal="right" vertical="center"/>
    </xf>
    <xf numFmtId="4" fontId="65" fillId="30" borderId="0" applyNumberFormat="0" applyProtection="0">
      <alignment horizontal="left" vertical="center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0" fontId="65" fillId="29" borderId="42" applyNumberFormat="0" applyProtection="0">
      <alignment horizontal="left" vertical="top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5" fillId="29" borderId="42" applyNumberFormat="0" applyProtection="0">
      <alignment horizontal="left" vertical="center" indent="1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6" fillId="29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4" fontId="65" fillId="27" borderId="42" applyNumberFormat="0" applyProtection="0">
      <alignment vertical="center"/>
    </xf>
    <xf numFmtId="242" fontId="7" fillId="0" borderId="0" applyFont="0" applyFill="0" applyBorder="0" applyProtection="0">
      <alignment horizontal="right" vertical="center"/>
    </xf>
    <xf numFmtId="241" fontId="46" fillId="0" borderId="0" applyFont="0" applyFill="0" applyBorder="0" applyAlignment="0" applyProtection="0"/>
    <xf numFmtId="176" fontId="6" fillId="0" borderId="0">
      <protection locked="0"/>
    </xf>
    <xf numFmtId="10" fontId="10" fillId="0" borderId="0" applyFont="0" applyFill="0" applyBorder="0" applyAlignment="0" applyProtection="0"/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64" fillId="23" borderId="41" applyNumberForma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0" fontId="20" fillId="28" borderId="40" applyNumberFormat="0" applyFont="0" applyAlignment="0" applyProtection="0">
      <alignment vertical="center"/>
    </xf>
    <xf numFmtId="3" fontId="62" fillId="0" borderId="0" applyFont="0" applyFill="0" applyBorder="0" applyAlignment="0" applyProtection="0">
      <alignment horizontal="centerContinuous"/>
    </xf>
    <xf numFmtId="0" fontId="10" fillId="0" borderId="0"/>
    <xf numFmtId="240" fontId="5" fillId="0" borderId="0"/>
    <xf numFmtId="37" fontId="61" fillId="0" borderId="0"/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239" fontId="10" fillId="0" borderId="0" applyFont="0" applyFill="0" applyBorder="0" applyAlignment="0" applyProtection="0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9" fillId="0" borderId="14"/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0" fontId="57" fillId="10" borderId="39" applyNumberFormat="0" applyAlignment="0" applyProtection="0">
      <alignment vertical="center"/>
    </xf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10" fontId="51" fillId="3" borderId="93" applyNumberFormat="0" applyBorder="0" applyAlignment="0" applyProtection="0"/>
    <xf numFmtId="0" fontId="57" fillId="10" borderId="39" applyNumberFormat="0" applyAlignment="0" applyProtection="0">
      <alignment vertical="center"/>
    </xf>
    <xf numFmtId="0" fontId="56" fillId="26" borderId="0" applyFont="0" applyAlignment="0">
      <alignment horizontal="left"/>
    </xf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5" fillId="0" borderId="92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1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48" fillId="0" borderId="9" applyNumberFormat="0" applyAlignment="0" applyProtection="0">
      <alignment horizontal="left" vertical="center"/>
    </xf>
    <xf numFmtId="0" fontId="52" fillId="0" borderId="0">
      <alignment horizontal="left"/>
    </xf>
    <xf numFmtId="38" fontId="51" fillId="3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2" fontId="43" fillId="0" borderId="0" applyFill="0" applyBorder="0" applyAlignment="0" applyProtection="0"/>
    <xf numFmtId="2" fontId="10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238" fontId="5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25" borderId="0" applyNumberFormat="0" applyFont="0" applyBorder="0" applyAlignment="0" applyProtection="0"/>
    <xf numFmtId="237" fontId="13" fillId="0" borderId="0">
      <protection locked="0"/>
    </xf>
    <xf numFmtId="237" fontId="13" fillId="0" borderId="0">
      <protection locked="0"/>
    </xf>
    <xf numFmtId="237" fontId="13" fillId="0" borderId="0">
      <protection locked="0"/>
    </xf>
    <xf numFmtId="237" fontId="12" fillId="0" borderId="0">
      <protection locked="0"/>
    </xf>
    <xf numFmtId="236" fontId="13" fillId="0" borderId="0">
      <protection locked="0"/>
    </xf>
    <xf numFmtId="236" fontId="13" fillId="0" borderId="0">
      <protection locked="0"/>
    </xf>
    <xf numFmtId="236" fontId="13" fillId="0" borderId="0">
      <protection locked="0"/>
    </xf>
    <xf numFmtId="236" fontId="12" fillId="0" borderId="0">
      <protection locked="0"/>
    </xf>
    <xf numFmtId="235" fontId="5" fillId="0" borderId="0"/>
    <xf numFmtId="234" fontId="46" fillId="0" borderId="0" applyFont="0" applyFill="0" applyBorder="0" applyAlignment="0" applyProtection="0"/>
    <xf numFmtId="233" fontId="46" fillId="0" borderId="0" applyFont="0" applyFill="0" applyBorder="0" applyAlignment="0">
      <alignment horizontal="right" vertical="center"/>
    </xf>
    <xf numFmtId="232" fontId="46" fillId="0" borderId="0" applyFont="0" applyFill="0" applyBorder="0" applyAlignment="0" applyProtection="0"/>
    <xf numFmtId="231" fontId="7" fillId="0" borderId="0" applyFont="0" applyFill="0" applyBorder="0">
      <alignment horizontal="right" vertical="center"/>
    </xf>
    <xf numFmtId="230" fontId="45" fillId="0" borderId="0">
      <alignment horizontal="right" vertical="center"/>
    </xf>
    <xf numFmtId="229" fontId="7" fillId="0" borderId="0" applyFont="0" applyFill="0" applyBorder="0" applyProtection="0">
      <alignment vertical="center"/>
    </xf>
    <xf numFmtId="14" fontId="44" fillId="0" borderId="0" applyFont="0" applyFill="0" applyBorder="0">
      <alignment horizontal="right" vertical="top" wrapText="1"/>
    </xf>
    <xf numFmtId="0" fontId="43" fillId="0" borderId="0" applyFill="0" applyBorder="0" applyAlignment="0" applyProtection="0"/>
    <xf numFmtId="0" fontId="5" fillId="0" borderId="0"/>
    <xf numFmtId="228" fontId="5" fillId="0" borderId="0"/>
    <xf numFmtId="228" fontId="5" fillId="0" borderId="0"/>
    <xf numFmtId="227" fontId="4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8" fontId="7" fillId="0" borderId="0" applyFont="0" applyFill="0" applyBorder="0" applyAlignment="0" applyProtection="0"/>
    <xf numFmtId="226" fontId="10" fillId="0" borderId="0" applyFont="0" applyFill="0" applyBorder="0" applyAlignment="0" applyProtection="0"/>
    <xf numFmtId="3" fontId="42" fillId="0" borderId="0" applyFont="0" applyFill="0" applyBorder="0" applyAlignment="0" applyProtection="0"/>
    <xf numFmtId="0" fontId="10" fillId="0" borderId="0" applyFont="0" applyFill="0" applyBorder="0" applyAlignment="0" applyProtection="0"/>
    <xf numFmtId="225" fontId="5" fillId="0" borderId="0"/>
    <xf numFmtId="0" fontId="10" fillId="0" borderId="0" applyFont="0" applyFill="0" applyBorder="0" applyAlignment="0" applyProtection="0"/>
    <xf numFmtId="0" fontId="11" fillId="0" borderId="33">
      <protection locked="0"/>
    </xf>
    <xf numFmtId="176" fontId="6" fillId="0" borderId="0">
      <protection locked="0"/>
    </xf>
    <xf numFmtId="0" fontId="41" fillId="24" borderId="8" applyNumberFormat="0" applyAlignment="0" applyProtection="0">
      <alignment vertical="center"/>
    </xf>
    <xf numFmtId="0" fontId="41" fillId="24" borderId="8" applyNumberFormat="0" applyAlignment="0" applyProtection="0">
      <alignment vertical="center"/>
    </xf>
    <xf numFmtId="0" fontId="40" fillId="0" borderId="0"/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39" fillId="23" borderId="39" applyNumberFormat="0" applyAlignment="0" applyProtection="0">
      <alignment vertical="center"/>
    </xf>
    <xf numFmtId="0" fontId="13" fillId="0" borderId="0"/>
    <xf numFmtId="0" fontId="28" fillId="0" borderId="0"/>
    <xf numFmtId="176" fontId="11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0" fontId="38" fillId="0" borderId="0"/>
    <xf numFmtId="176" fontId="6" fillId="0" borderId="0">
      <protection locked="0"/>
    </xf>
    <xf numFmtId="0" fontId="37" fillId="0" borderId="0"/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0" fontId="25" fillId="0" borderId="0"/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0" fontId="36" fillId="0" borderId="0"/>
    <xf numFmtId="0" fontId="35" fillId="0" borderId="0"/>
    <xf numFmtId="0" fontId="34" fillId="0" borderId="0"/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6" fillId="0" borderId="0">
      <protection locked="0"/>
    </xf>
    <xf numFmtId="176" fontId="11" fillId="0" borderId="0">
      <protection locked="0"/>
    </xf>
    <xf numFmtId="0" fontId="33" fillId="0" borderId="0" applyNumberFormat="0" applyFill="0" applyBorder="0" applyAlignment="0" applyProtection="0"/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224" fontId="13" fillId="0" borderId="0">
      <protection locked="0"/>
    </xf>
    <xf numFmtId="224" fontId="13" fillId="0" borderId="0">
      <protection locked="0"/>
    </xf>
    <xf numFmtId="224" fontId="13" fillId="0" borderId="0">
      <protection locked="0"/>
    </xf>
    <xf numFmtId="224" fontId="12" fillId="0" borderId="0">
      <protection locked="0"/>
    </xf>
    <xf numFmtId="4" fontId="11" fillId="0" borderId="0">
      <protection locked="0"/>
    </xf>
    <xf numFmtId="176" fontId="11" fillId="0" borderId="0">
      <protection locked="0"/>
    </xf>
    <xf numFmtId="0" fontId="10" fillId="0" borderId="0" applyFont="0" applyFill="0" applyBorder="0" applyAlignment="0" applyProtection="0"/>
    <xf numFmtId="220" fontId="29" fillId="0" borderId="0" applyFont="0" applyFill="0" applyBorder="0" applyAlignment="0" applyProtection="0"/>
    <xf numFmtId="220" fontId="28" fillId="0" borderId="0" applyFont="0" applyFill="0" applyBorder="0" applyAlignment="0" applyProtection="0"/>
    <xf numFmtId="209" fontId="12" fillId="0" borderId="0" applyFont="0" applyFill="0" applyBorder="0" applyAlignment="0" applyProtection="0"/>
    <xf numFmtId="219" fontId="29" fillId="0" borderId="0" applyFont="0" applyFill="0" applyBorder="0" applyAlignment="0" applyProtection="0"/>
    <xf numFmtId="219" fontId="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176" fontId="11" fillId="0" borderId="0">
      <protection locked="0"/>
    </xf>
    <xf numFmtId="0" fontId="7" fillId="0" borderId="0"/>
    <xf numFmtId="223" fontId="13" fillId="0" borderId="0">
      <protection locked="0"/>
    </xf>
    <xf numFmtId="223" fontId="13" fillId="0" borderId="0">
      <protection locked="0"/>
    </xf>
    <xf numFmtId="223" fontId="13" fillId="0" borderId="0">
      <protection locked="0"/>
    </xf>
    <xf numFmtId="223" fontId="12" fillId="0" borderId="0">
      <protection locked="0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222" fontId="25" fillId="0" borderId="0" applyFont="0" applyFill="0" applyBorder="0" applyAlignment="0" applyProtection="0"/>
    <xf numFmtId="221" fontId="25" fillId="0" borderId="0" applyFont="0" applyFill="0" applyBorder="0" applyAlignment="0" applyProtection="0"/>
    <xf numFmtId="176" fontId="6" fillId="0" borderId="0">
      <protection locked="0"/>
    </xf>
    <xf numFmtId="176" fontId="6" fillId="0" borderId="0">
      <protection locked="0"/>
    </xf>
    <xf numFmtId="176" fontId="11" fillId="0" borderId="0">
      <protection locked="0"/>
    </xf>
    <xf numFmtId="0" fontId="30" fillId="0" borderId="0" applyFont="0" applyFill="0" applyBorder="0" applyAlignment="0" applyProtection="0"/>
    <xf numFmtId="222" fontId="29" fillId="0" borderId="0" applyFont="0" applyFill="0" applyBorder="0" applyAlignment="0" applyProtection="0"/>
    <xf numFmtId="222" fontId="28" fillId="0" borderId="0" applyFont="0" applyFill="0" applyBorder="0" applyAlignment="0" applyProtection="0"/>
    <xf numFmtId="191" fontId="12" fillId="0" borderId="0" applyFont="0" applyFill="0" applyBorder="0" applyAlignment="0" applyProtection="0"/>
    <xf numFmtId="176" fontId="6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0" fontId="30" fillId="0" borderId="0" applyFont="0" applyFill="0" applyBorder="0" applyAlignment="0" applyProtection="0"/>
    <xf numFmtId="221" fontId="29" fillId="0" borderId="0" applyFont="0" applyFill="0" applyBorder="0" applyAlignment="0" applyProtection="0"/>
    <xf numFmtId="221" fontId="28" fillId="0" borderId="0" applyFont="0" applyFill="0" applyBorder="0" applyAlignment="0" applyProtection="0"/>
    <xf numFmtId="198" fontId="12" fillId="0" borderId="0" applyFont="0" applyFill="0" applyBorder="0" applyAlignment="0" applyProtection="0"/>
    <xf numFmtId="176" fontId="6" fillId="0" borderId="0">
      <protection locked="0"/>
    </xf>
    <xf numFmtId="176" fontId="6" fillId="0" borderId="0">
      <protection locked="0"/>
    </xf>
    <xf numFmtId="176" fontId="11" fillId="0" borderId="0">
      <protection locked="0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6" fontId="6" fillId="0" borderId="0">
      <protection locked="0"/>
    </xf>
    <xf numFmtId="176" fontId="6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220" fontId="25" fillId="0" borderId="0" applyFont="0" applyFill="0" applyBorder="0" applyAlignment="0" applyProtection="0"/>
    <xf numFmtId="219" fontId="25" fillId="0" borderId="0" applyFont="0" applyFill="0" applyBorder="0" applyAlignment="0" applyProtection="0"/>
    <xf numFmtId="176" fontId="6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176" fontId="6" fillId="0" borderId="0">
      <protection locked="0"/>
    </xf>
    <xf numFmtId="176" fontId="11" fillId="0" borderId="0">
      <protection locked="0"/>
    </xf>
    <xf numFmtId="0" fontId="23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1" fillId="0" borderId="0">
      <protection locked="0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9" fillId="0" borderId="7">
      <alignment horizontal="center"/>
    </xf>
    <xf numFmtId="176" fontId="11" fillId="0" borderId="0">
      <protection locked="0"/>
    </xf>
    <xf numFmtId="38" fontId="19" fillId="0" borderId="6">
      <alignment horizontal="right" vertical="center"/>
      <protection locked="0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9" fontId="18" fillId="4" borderId="5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" fontId="17" fillId="0" borderId="47">
      <alignment vertical="center"/>
    </xf>
    <xf numFmtId="49" fontId="16" fillId="0" borderId="4" applyBorder="0">
      <alignment vertical="center"/>
    </xf>
    <xf numFmtId="218" fontId="15" fillId="0" borderId="0">
      <alignment vertical="center"/>
    </xf>
    <xf numFmtId="0" fontId="14" fillId="0" borderId="0">
      <protection locked="0"/>
    </xf>
    <xf numFmtId="0" fontId="14" fillId="0" borderId="0">
      <protection locked="0"/>
    </xf>
    <xf numFmtId="217" fontId="13" fillId="0" borderId="0">
      <protection locked="0"/>
    </xf>
    <xf numFmtId="217" fontId="13" fillId="0" borderId="0">
      <protection locked="0"/>
    </xf>
    <xf numFmtId="217" fontId="13" fillId="0" borderId="0">
      <protection locked="0"/>
    </xf>
    <xf numFmtId="217" fontId="12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0" fontId="11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5" fillId="0" borderId="0">
      <alignment vertical="center"/>
    </xf>
    <xf numFmtId="176" fontId="6" fillId="0" borderId="0">
      <protection locked="0"/>
    </xf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16" fontId="7" fillId="0" borderId="0" applyNumberFormat="0" applyFont="0" applyFill="0" applyBorder="0" applyAlignment="0" applyProtection="0"/>
    <xf numFmtId="215" fontId="7" fillId="0" borderId="0" applyNumberFormat="0" applyFont="0" applyFill="0" applyBorder="0" applyAlignment="0" applyProtection="0"/>
    <xf numFmtId="215" fontId="7" fillId="0" borderId="0" applyNumberFormat="0" applyFont="0" applyFill="0" applyBorder="0" applyAlignment="0" applyProtection="0"/>
    <xf numFmtId="24" fontId="7" fillId="0" borderId="0" applyFont="0" applyFill="0" applyBorder="0" applyAlignment="0" applyProtection="0"/>
    <xf numFmtId="214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2" fontId="9" fillId="0" borderId="0" applyFont="0" applyFill="0" applyBorder="0" applyAlignment="0" applyProtection="0"/>
    <xf numFmtId="211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209" fontId="9" fillId="0" borderId="0" applyFont="0" applyFill="0" applyBorder="0" applyAlignment="0" applyProtection="0"/>
    <xf numFmtId="208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8" fontId="5" fillId="0" borderId="12" applyFont="0" applyFill="0" applyBorder="0" applyAlignment="0" applyProtection="0">
      <alignment vertical="center"/>
    </xf>
    <xf numFmtId="19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9" fontId="5" fillId="0" borderId="12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3" fontId="8" fillId="0" borderId="0" applyFont="0" applyFill="0" applyBorder="0" applyAlignment="0" applyProtection="0">
      <alignment vertical="center"/>
    </xf>
    <xf numFmtId="0" fontId="7" fillId="0" borderId="22">
      <alignment horizontal="center"/>
    </xf>
    <xf numFmtId="0" fontId="7" fillId="0" borderId="22">
      <alignment horizontal="center"/>
    </xf>
    <xf numFmtId="0" fontId="7" fillId="0" borderId="22">
      <alignment horizontal="center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176" fontId="6" fillId="0" borderId="0">
      <protection locked="0"/>
    </xf>
    <xf numFmtId="0" fontId="5" fillId="0" borderId="0">
      <alignment vertical="center"/>
    </xf>
  </cellStyleXfs>
  <cellXfs count="100">
    <xf numFmtId="0" fontId="0" fillId="0" borderId="0" xfId="0">
      <alignment vertical="center"/>
    </xf>
    <xf numFmtId="0" fontId="103" fillId="0" borderId="0" xfId="0" applyFont="1">
      <alignment vertical="center"/>
    </xf>
    <xf numFmtId="259" fontId="101" fillId="0" borderId="90" xfId="29264" applyNumberFormat="1" applyFont="1" applyBorder="1" applyAlignment="1">
      <alignment horizontal="center" vertical="center"/>
    </xf>
    <xf numFmtId="260" fontId="101" fillId="0" borderId="89" xfId="29264" applyNumberFormat="1" applyFont="1" applyBorder="1" applyAlignment="1">
      <alignment horizontal="center" vertical="center"/>
    </xf>
    <xf numFmtId="259" fontId="101" fillId="0" borderId="89" xfId="29264" applyNumberFormat="1" applyFont="1" applyBorder="1" applyAlignment="1">
      <alignment horizontal="center" vertical="center"/>
    </xf>
    <xf numFmtId="258" fontId="101" fillId="0" borderId="89" xfId="29264" applyNumberFormat="1" applyFont="1" applyBorder="1" applyAlignment="1">
      <alignment horizontal="center" vertical="center"/>
    </xf>
    <xf numFmtId="262" fontId="101" fillId="0" borderId="88" xfId="29264" applyNumberFormat="1" applyFont="1" applyBorder="1" applyAlignment="1">
      <alignment horizontal="center" vertical="center"/>
    </xf>
    <xf numFmtId="264" fontId="101" fillId="0" borderId="87" xfId="29264" applyNumberFormat="1" applyFont="1" applyBorder="1" applyAlignment="1">
      <alignment horizontal="center" vertical="center"/>
    </xf>
    <xf numFmtId="262" fontId="101" fillId="0" borderId="34" xfId="29264" applyNumberFormat="1" applyFont="1" applyBorder="1" applyAlignment="1">
      <alignment horizontal="center" vertical="center"/>
    </xf>
    <xf numFmtId="259" fontId="101" fillId="0" borderId="86" xfId="29264" applyNumberFormat="1" applyFont="1" applyBorder="1" applyAlignment="1">
      <alignment horizontal="center" vertical="center"/>
    </xf>
    <xf numFmtId="260" fontId="101" fillId="0" borderId="12" xfId="29264" applyNumberFormat="1" applyFont="1" applyBorder="1" applyAlignment="1">
      <alignment horizontal="center" vertical="center"/>
    </xf>
    <xf numFmtId="259" fontId="101" fillId="0" borderId="12" xfId="29264" applyNumberFormat="1" applyFont="1" applyBorder="1" applyAlignment="1">
      <alignment horizontal="center" vertical="center"/>
    </xf>
    <xf numFmtId="264" fontId="101" fillId="0" borderId="12" xfId="29264" applyNumberFormat="1" applyFont="1" applyBorder="1" applyAlignment="1">
      <alignment horizontal="center" vertical="center"/>
    </xf>
    <xf numFmtId="266" fontId="101" fillId="0" borderId="12" xfId="29264" applyNumberFormat="1" applyFont="1" applyBorder="1" applyAlignment="1">
      <alignment horizontal="center" vertical="center"/>
    </xf>
    <xf numFmtId="258" fontId="101" fillId="0" borderId="12" xfId="29264" applyNumberFormat="1" applyFont="1" applyBorder="1" applyAlignment="1">
      <alignment horizontal="center" vertical="center"/>
    </xf>
    <xf numFmtId="265" fontId="101" fillId="0" borderId="12" xfId="29264" applyNumberFormat="1" applyFont="1" applyBorder="1" applyAlignment="1">
      <alignment horizontal="center" vertical="center"/>
    </xf>
    <xf numFmtId="264" fontId="101" fillId="0" borderId="85" xfId="29264" applyNumberFormat="1" applyFont="1" applyBorder="1" applyAlignment="1">
      <alignment horizontal="center" vertical="center"/>
    </xf>
    <xf numFmtId="262" fontId="101" fillId="0" borderId="1" xfId="29264" applyNumberFormat="1" applyFont="1" applyBorder="1" applyAlignment="1">
      <alignment horizontal="center" vertical="center"/>
    </xf>
    <xf numFmtId="260" fontId="101" fillId="0" borderId="2" xfId="29264" applyNumberFormat="1" applyFont="1" applyBorder="1" applyAlignment="1">
      <alignment horizontal="center" vertical="center"/>
    </xf>
    <xf numFmtId="262" fontId="101" fillId="0" borderId="2" xfId="29264" applyNumberFormat="1" applyFont="1" applyBorder="1" applyAlignment="1">
      <alignment horizontal="center" vertical="center"/>
    </xf>
    <xf numFmtId="255" fontId="102" fillId="0" borderId="0" xfId="29264" applyNumberFormat="1" applyFont="1" applyAlignment="1">
      <alignment horizontal="center" vertical="center"/>
    </xf>
    <xf numFmtId="257" fontId="102" fillId="0" borderId="0" xfId="29264" applyNumberFormat="1" applyFont="1" applyAlignment="1">
      <alignment horizontal="center" vertical="center"/>
    </xf>
    <xf numFmtId="257" fontId="102" fillId="44" borderId="0" xfId="29264" applyNumberFormat="1" applyFont="1" applyFill="1" applyAlignment="1">
      <alignment horizontal="center" vertical="center"/>
    </xf>
    <xf numFmtId="262" fontId="101" fillId="0" borderId="35" xfId="29264" applyNumberFormat="1" applyFont="1" applyBorder="1" applyAlignment="1">
      <alignment horizontal="center" vertical="center"/>
    </xf>
    <xf numFmtId="259" fontId="101" fillId="0" borderId="28" xfId="29264" applyNumberFormat="1" applyFont="1" applyBorder="1" applyAlignment="1">
      <alignment horizontal="center" vertical="center"/>
    </xf>
    <xf numFmtId="260" fontId="101" fillId="0" borderId="27" xfId="29264" applyNumberFormat="1" applyFont="1" applyBorder="1" applyAlignment="1">
      <alignment horizontal="center" vertical="center"/>
    </xf>
    <xf numFmtId="259" fontId="101" fillId="0" borderId="27" xfId="29264" applyNumberFormat="1" applyFont="1" applyBorder="1" applyAlignment="1">
      <alignment horizontal="center" vertical="center"/>
    </xf>
    <xf numFmtId="258" fontId="101" fillId="0" borderId="27" xfId="29264" applyNumberFormat="1" applyFont="1" applyBorder="1" applyAlignment="1">
      <alignment horizontal="center" vertical="center"/>
    </xf>
    <xf numFmtId="262" fontId="101" fillId="0" borderId="27" xfId="29264" applyNumberFormat="1" applyFont="1" applyBorder="1" applyAlignment="1">
      <alignment horizontal="center" vertical="center"/>
    </xf>
    <xf numFmtId="264" fontId="101" fillId="0" borderId="23" xfId="29264" applyNumberFormat="1" applyFont="1" applyBorder="1" applyAlignment="1">
      <alignment horizontal="center" vertical="center"/>
    </xf>
    <xf numFmtId="259" fontId="101" fillId="0" borderId="30" xfId="29264" applyNumberFormat="1" applyFont="1" applyBorder="1" applyAlignment="1">
      <alignment horizontal="center" vertical="center"/>
    </xf>
    <xf numFmtId="260" fontId="101" fillId="0" borderId="1" xfId="29264" applyNumberFormat="1" applyFont="1" applyBorder="1" applyAlignment="1">
      <alignment horizontal="center" vertical="center"/>
    </xf>
    <xf numFmtId="259" fontId="101" fillId="0" borderId="1" xfId="29264" applyNumberFormat="1" applyFont="1" applyBorder="1" applyAlignment="1">
      <alignment horizontal="center" vertical="center"/>
    </xf>
    <xf numFmtId="258" fontId="101" fillId="0" borderId="1" xfId="29264" applyNumberFormat="1" applyFont="1" applyBorder="1" applyAlignment="1">
      <alignment horizontal="center" vertical="center"/>
    </xf>
    <xf numFmtId="262" fontId="101" fillId="0" borderId="29" xfId="29264" applyNumberFormat="1" applyFont="1" applyBorder="1" applyAlignment="1">
      <alignment horizontal="center" vertical="center"/>
    </xf>
    <xf numFmtId="264" fontId="101" fillId="0" borderId="32" xfId="29264" applyNumberFormat="1" applyFont="1" applyBorder="1" applyAlignment="1">
      <alignment horizontal="center" vertical="center"/>
    </xf>
    <xf numFmtId="259" fontId="101" fillId="0" borderId="26" xfId="29264" applyNumberFormat="1" applyFont="1" applyBorder="1" applyAlignment="1">
      <alignment horizontal="center" vertical="center"/>
    </xf>
    <xf numFmtId="259" fontId="101" fillId="0" borderId="2" xfId="29264" applyNumberFormat="1" applyFont="1" applyBorder="1" applyAlignment="1">
      <alignment horizontal="center" vertical="center"/>
    </xf>
    <xf numFmtId="258" fontId="101" fillId="0" borderId="2" xfId="29264" applyNumberFormat="1" applyFont="1" applyBorder="1" applyAlignment="1">
      <alignment horizontal="center" vertical="center"/>
    </xf>
    <xf numFmtId="262" fontId="101" fillId="0" borderId="31" xfId="29264" applyNumberFormat="1" applyFont="1" applyBorder="1" applyAlignment="1">
      <alignment horizontal="center" vertical="center"/>
    </xf>
    <xf numFmtId="264" fontId="101" fillId="0" borderId="25" xfId="29264" applyNumberFormat="1" applyFont="1" applyBorder="1" applyAlignment="1">
      <alignment horizontal="center" vertical="center"/>
    </xf>
    <xf numFmtId="257" fontId="101" fillId="0" borderId="35" xfId="29264" applyNumberFormat="1" applyFont="1" applyBorder="1" applyAlignment="1">
      <alignment horizontal="center" vertical="center"/>
    </xf>
    <xf numFmtId="255" fontId="101" fillId="0" borderId="84" xfId="29264" applyNumberFormat="1" applyFont="1" applyBorder="1" applyAlignment="1">
      <alignment horizontal="center" vertical="center"/>
    </xf>
    <xf numFmtId="255" fontId="101" fillId="0" borderId="24" xfId="29264" applyNumberFormat="1" applyFont="1" applyBorder="1" applyAlignment="1">
      <alignment horizontal="center" vertical="center"/>
    </xf>
    <xf numFmtId="259" fontId="101" fillId="0" borderId="24" xfId="29264" applyNumberFormat="1" applyFont="1" applyBorder="1" applyAlignment="1">
      <alignment horizontal="center" vertical="center"/>
    </xf>
    <xf numFmtId="264" fontId="101" fillId="0" borderId="24" xfId="29264" applyNumberFormat="1" applyFont="1" applyBorder="1" applyAlignment="1">
      <alignment horizontal="center" vertical="center"/>
    </xf>
    <xf numFmtId="262" fontId="101" fillId="0" borderId="38" xfId="29264" applyNumberFormat="1" applyFont="1" applyBorder="1" applyAlignment="1">
      <alignment horizontal="center" vertical="center"/>
    </xf>
    <xf numFmtId="264" fontId="101" fillId="0" borderId="83" xfId="29264" applyNumberFormat="1" applyFont="1" applyBorder="1" applyAlignment="1">
      <alignment horizontal="center" vertical="center"/>
    </xf>
    <xf numFmtId="259" fontId="101" fillId="0" borderId="82" xfId="29264" applyNumberFormat="1" applyFont="1" applyBorder="1" applyAlignment="1">
      <alignment horizontal="center" vertical="center"/>
    </xf>
    <xf numFmtId="260" fontId="101" fillId="0" borderId="35" xfId="29264" applyNumberFormat="1" applyFont="1" applyBorder="1" applyAlignment="1">
      <alignment horizontal="center" vertical="center"/>
    </xf>
    <xf numFmtId="259" fontId="101" fillId="0" borderId="35" xfId="29264" applyNumberFormat="1" applyFont="1" applyBorder="1" applyAlignment="1">
      <alignment horizontal="center" vertical="center"/>
    </xf>
    <xf numFmtId="258" fontId="101" fillId="0" borderId="35" xfId="29264" applyNumberFormat="1" applyFont="1" applyBorder="1" applyAlignment="1">
      <alignment horizontal="center" vertical="center"/>
    </xf>
    <xf numFmtId="262" fontId="101" fillId="0" borderId="37" xfId="29264" applyNumberFormat="1" applyFont="1" applyBorder="1" applyAlignment="1">
      <alignment horizontal="center" vertical="center"/>
    </xf>
    <xf numFmtId="264" fontId="101" fillId="0" borderId="81" xfId="29264" applyNumberFormat="1" applyFont="1" applyBorder="1" applyAlignment="1">
      <alignment horizontal="center" vertical="center"/>
    </xf>
    <xf numFmtId="255" fontId="101" fillId="0" borderId="80" xfId="29264" applyNumberFormat="1" applyFont="1" applyBorder="1" applyAlignment="1">
      <alignment horizontal="center" vertical="center"/>
    </xf>
    <xf numFmtId="255" fontId="101" fillId="0" borderId="79" xfId="29264" applyNumberFormat="1" applyFont="1" applyBorder="1" applyAlignment="1">
      <alignment horizontal="center" vertical="center"/>
    </xf>
    <xf numFmtId="259" fontId="101" fillId="0" borderId="79" xfId="29264" applyNumberFormat="1" applyFont="1" applyBorder="1" applyAlignment="1">
      <alignment horizontal="center" vertical="center"/>
    </xf>
    <xf numFmtId="264" fontId="101" fillId="0" borderId="79" xfId="29264" applyNumberFormat="1" applyFont="1" applyBorder="1" applyAlignment="1">
      <alignment horizontal="center" vertical="center"/>
    </xf>
    <xf numFmtId="264" fontId="101" fillId="0" borderId="78" xfId="29264" applyNumberFormat="1" applyFont="1" applyBorder="1" applyAlignment="1">
      <alignment horizontal="center" vertical="center"/>
    </xf>
    <xf numFmtId="264" fontId="101" fillId="0" borderId="77" xfId="29264" applyNumberFormat="1" applyFont="1" applyBorder="1" applyAlignment="1">
      <alignment horizontal="center" vertical="center"/>
    </xf>
    <xf numFmtId="261" fontId="99" fillId="0" borderId="0" xfId="0" applyNumberFormat="1" applyFont="1" applyAlignment="1">
      <alignment horizontal="center" vertical="center"/>
    </xf>
    <xf numFmtId="262" fontId="2" fillId="0" borderId="0" xfId="0" applyNumberFormat="1" applyFont="1" applyAlignment="1">
      <alignment horizontal="center" vertical="center"/>
    </xf>
    <xf numFmtId="261" fontId="99" fillId="0" borderId="76" xfId="0" applyNumberFormat="1" applyFont="1" applyBorder="1" applyAlignment="1">
      <alignment horizontal="center" vertical="center"/>
    </xf>
    <xf numFmtId="261" fontId="99" fillId="0" borderId="75" xfId="0" applyNumberFormat="1" applyFont="1" applyBorder="1" applyAlignment="1">
      <alignment horizontal="center" vertical="center"/>
    </xf>
    <xf numFmtId="261" fontId="99" fillId="0" borderId="74" xfId="0" applyNumberFormat="1" applyFont="1" applyBorder="1" applyAlignment="1">
      <alignment horizontal="center" vertical="center"/>
    </xf>
    <xf numFmtId="262" fontId="2" fillId="0" borderId="73" xfId="0" applyNumberFormat="1" applyFont="1" applyBorder="1" applyAlignment="1">
      <alignment horizontal="center" vertical="center"/>
    </xf>
    <xf numFmtId="263" fontId="99" fillId="0" borderId="70" xfId="0" applyNumberFormat="1" applyFont="1" applyBorder="1" applyAlignment="1">
      <alignment horizontal="center" vertical="center"/>
    </xf>
    <xf numFmtId="261" fontId="99" fillId="0" borderId="36" xfId="0" applyNumberFormat="1" applyFont="1" applyBorder="1" applyAlignment="1">
      <alignment horizontal="center" vertical="center"/>
    </xf>
    <xf numFmtId="261" fontId="99" fillId="0" borderId="69" xfId="0" applyNumberFormat="1" applyFont="1" applyBorder="1" applyAlignment="1">
      <alignment horizontal="center" vertical="center"/>
    </xf>
    <xf numFmtId="262" fontId="99" fillId="0" borderId="68" xfId="0" applyNumberFormat="1" applyFont="1" applyBorder="1" applyAlignment="1">
      <alignment horizontal="center" vertical="center"/>
    </xf>
    <xf numFmtId="261" fontId="99" fillId="0" borderId="68" xfId="0" applyNumberFormat="1" applyFont="1" applyBorder="1" applyAlignment="1">
      <alignment horizontal="center" vertical="center"/>
    </xf>
    <xf numFmtId="263" fontId="99" fillId="0" borderId="66" xfId="0" applyNumberFormat="1" applyFont="1" applyBorder="1" applyAlignment="1">
      <alignment horizontal="center" vertical="center"/>
    </xf>
    <xf numFmtId="261" fontId="99" fillId="0" borderId="65" xfId="0" applyNumberFormat="1" applyFont="1" applyBorder="1" applyAlignment="1">
      <alignment horizontal="center" vertical="center"/>
    </xf>
    <xf numFmtId="261" fontId="99" fillId="0" borderId="64" xfId="0" applyNumberFormat="1" applyFont="1" applyBorder="1" applyAlignment="1">
      <alignment horizontal="center" vertical="center"/>
    </xf>
    <xf numFmtId="262" fontId="99" fillId="0" borderId="63" xfId="0" applyNumberFormat="1" applyFont="1" applyBorder="1" applyAlignment="1">
      <alignment horizontal="center" vertical="center"/>
    </xf>
    <xf numFmtId="261" fontId="99" fillId="0" borderId="63" xfId="0" applyNumberFormat="1" applyFont="1" applyBorder="1" applyAlignment="1">
      <alignment horizontal="center" vertical="center"/>
    </xf>
    <xf numFmtId="263" fontId="99" fillId="0" borderId="61" xfId="0" applyNumberFormat="1" applyFont="1" applyBorder="1" applyAlignment="1">
      <alignment horizontal="center" vertical="center"/>
    </xf>
    <xf numFmtId="261" fontId="99" fillId="0" borderId="60" xfId="0" applyNumberFormat="1" applyFont="1" applyBorder="1" applyAlignment="1">
      <alignment horizontal="center" vertical="center"/>
    </xf>
    <xf numFmtId="261" fontId="99" fillId="0" borderId="59" xfId="0" applyNumberFormat="1" applyFont="1" applyBorder="1" applyAlignment="1">
      <alignment horizontal="center" vertical="center"/>
    </xf>
    <xf numFmtId="262" fontId="99" fillId="0" borderId="58" xfId="0" applyNumberFormat="1" applyFont="1" applyBorder="1" applyAlignment="1">
      <alignment horizontal="center" vertical="center"/>
    </xf>
    <xf numFmtId="261" fontId="99" fillId="0" borderId="58" xfId="0" applyNumberFormat="1" applyFont="1" applyBorder="1" applyAlignment="1">
      <alignment horizontal="center" vertical="center"/>
    </xf>
    <xf numFmtId="261" fontId="99" fillId="0" borderId="52" xfId="0" applyNumberFormat="1" applyFont="1" applyBorder="1" applyAlignment="1">
      <alignment horizontal="center" vertical="center"/>
    </xf>
    <xf numFmtId="0" fontId="99" fillId="0" borderId="5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00" fillId="0" borderId="0" xfId="0" applyFont="1" applyAlignment="1">
      <alignment horizontal="center" vertical="center"/>
    </xf>
    <xf numFmtId="256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100" fillId="0" borderId="48" xfId="0" applyFont="1" applyBorder="1" applyAlignment="1">
      <alignment horizontal="center" vertical="center"/>
    </xf>
    <xf numFmtId="0" fontId="100" fillId="0" borderId="49" xfId="0" applyFont="1" applyBorder="1" applyAlignment="1">
      <alignment horizontal="center" vertical="center"/>
    </xf>
    <xf numFmtId="0" fontId="100" fillId="0" borderId="50" xfId="0" applyFont="1" applyBorder="1" applyAlignment="1">
      <alignment horizontal="center" vertical="center"/>
    </xf>
    <xf numFmtId="261" fontId="99" fillId="0" borderId="53" xfId="0" applyNumberFormat="1" applyFont="1" applyBorder="1" applyAlignment="1">
      <alignment horizontal="center" vertical="center"/>
    </xf>
    <xf numFmtId="261" fontId="99" fillId="0" borderId="54" xfId="0" applyNumberFormat="1" applyFont="1" applyBorder="1" applyAlignment="1">
      <alignment horizontal="center" vertical="center"/>
    </xf>
    <xf numFmtId="261" fontId="99" fillId="0" borderId="55" xfId="0" applyNumberFormat="1" applyFont="1" applyBorder="1" applyAlignment="1">
      <alignment horizontal="center" vertical="center"/>
    </xf>
    <xf numFmtId="261" fontId="99" fillId="0" borderId="56" xfId="0" applyNumberFormat="1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62" xfId="0" applyFont="1" applyBorder="1" applyAlignment="1">
      <alignment horizontal="center" vertical="center"/>
    </xf>
    <xf numFmtId="0" fontId="99" fillId="0" borderId="67" xfId="0" applyFont="1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07" Type="http://schemas.openxmlformats.org/officeDocument/2006/relationships/calcChain" Target="calcChain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134469</xdr:colOff>
      <xdr:row>1</xdr:row>
      <xdr:rowOff>78441</xdr:rowOff>
    </xdr:from>
    <xdr:to>
      <xdr:col>2</xdr:col>
      <xdr:colOff>207065</xdr:colOff>
      <xdr:row>1</xdr:row>
      <xdr:rowOff>694765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8151F3A-432D-1665-7BC7-5DE2B9249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734" y="302559"/>
          <a:ext cx="879419" cy="6163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Administrator/Documents/&#45348;&#51060;&#53944;&#50728;%20&#48155;&#51008;%20&#54028;&#51068;/&#47560;&#46020;&#50836;/&#44592;&#49696;&#50672;&#44396;&#49548;%2010&#50900;&#44036;%20&#44228;&#54925;&#54364;/&#48372;&#44256;&#49436;/&#49352;%20&#54260;&#45908;/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gram%20Files\ValueManager\key%20findings\&#49324;&#48376;%20-%20ProfitabilityAnalysis_grp_daeli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formula\2003\&#49352;%20&#54260;&#45908;\6&#50900;&#48176;&#54633;&#4870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5&#50900;\sy03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&#54408;&#51656;&#44288;&#47532;/Documents/&#45348;&#51060;&#53944;&#50728;%20&#48155;&#51008;%20&#54028;&#51068;/&#54408;&#51656;&#44288;&#47532;/&#44592;&#49696;&#50672;&#44396;&#49548;/&#53685;&#54633;&#48372;&#44256;&#49436;&#50868;&#50689;/&#50629;&#47924;&#48372;&#44256;&#49436;_&#44608;&#50896;&#51456;(120928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Administrator/Documents/&#45348;&#51060;&#53944;&#50728;%20&#48155;&#51008;%20&#54028;&#51068;/&#47560;&#46020;&#50836;/&#44592;&#49696;&#50672;&#44396;&#49548;%2010&#50900;&#44036;%20&#44228;&#54925;&#54364;/&#48372;&#44256;&#49436;/&#49352;%20&#54260;&#45908;/&#54532;&#47196;&#51229;&#53944;%20&#51068;&#51221;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49352;%20&#54260;&#45908;/&#51068;&#51068;%20&#48372;&#44256;&#49436;/&#50629;&#47924;&#48372;&#44256;&#49436;_&#44608;&#50896;&#51456;(130524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Administrator/Documents/&#45348;&#51060;&#53944;&#50728;%20&#48155;&#51008;%20&#54028;&#51068;/&#47560;&#46020;&#50836;/&#44592;&#49696;&#50672;&#44396;&#49548;%2010&#50900;&#44036;%20&#44228;&#54925;&#54364;/&#48372;&#44256;&#49436;/&#49352;%20&#54260;&#45908;/&#44592;&#49696;&#50672;&#44396;&#49548;%20&#50504;&#50980;&#51116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50689;&#50629;&#51216;&#48324;&#49464;&#48512;&#45236;&#50857;(&#52572;&#51333;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2003&#45380;&#46020;&#47785;&#54364;(021204)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  <sheetName val="4.경비 5.영업외수지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 특이사항 노트"/>
      <sheetName val="반품요청서 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컴플레인분석보고"/>
      <sheetName val="월간 컴플레인 발생 분석 보고"/>
      <sheetName val="컴플레인접수및처리대장"/>
      <sheetName val="품질관리월간계획"/>
      <sheetName val="품질 정보서 발송현황"/>
      <sheetName val="시정 조치 요구서"/>
      <sheetName val="자가 품질 분석 현황"/>
      <sheetName val="경쟁 업체 분석 보고(양계) "/>
      <sheetName val="농장 HACCP 지원 현황"/>
      <sheetName val="외부 교육 보고서"/>
    </sheetNames>
    <sheetDataSet>
      <sheetData sheetId="0">
        <row r="6">
          <cell r="A6" t="str">
            <v>상황보고서</v>
          </cell>
        </row>
        <row r="7">
          <cell r="A7" t="str">
            <v>일일보고서</v>
          </cell>
        </row>
        <row r="11">
          <cell r="A11" t="str">
            <v>부적합품 및 장기재고 재처리 방안 및 처리 현황</v>
          </cell>
        </row>
        <row r="12">
          <cell r="A12" t="str">
            <v>월간 부적합품 및 장기재고 발생 분석 보고</v>
          </cell>
        </row>
        <row r="13">
          <cell r="A13" t="str">
            <v xml:space="preserve">월간 컴플레인 발생 분석 보고 </v>
          </cell>
        </row>
        <row r="14">
          <cell r="A14" t="str">
            <v xml:space="preserve">월간 반품 발생 분석 보고 </v>
          </cell>
        </row>
        <row r="17">
          <cell r="A17" t="str">
            <v>품질관리 월간 계획표</v>
          </cell>
        </row>
        <row r="20">
          <cell r="A20" t="str">
            <v>컴플레인 방지 위원회 컴플레인 접수 시트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일일 공정 점검 일지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일일보고서"/>
      <sheetName val="누적그래프"/>
      <sheetName val="변동보고서(PDI.수분,경도)"/>
      <sheetName val="분석데이터"/>
      <sheetName val="제품샘플링현황"/>
      <sheetName val="규격이탈현황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제품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  <sheetName val="총괄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  <sheetName val="최종보고1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6"/>
  <sheetViews>
    <sheetView showGridLines="0" showZeros="0" tabSelected="1" zoomScale="85" zoomScaleNormal="85" zoomScaleSheetLayoutView="100" workbookViewId="0">
      <selection activeCell="T8" sqref="T8"/>
    </sheetView>
  </sheetViews>
  <sheetFormatPr defaultColWidth="7.625" defaultRowHeight="18" customHeight="1"/>
  <cols>
    <col min="1" max="1" width="1.625" style="1" customWidth="1"/>
    <col min="2" max="17" width="10.625" style="87" customWidth="1"/>
    <col min="18" max="18" width="1.625" style="87" customWidth="1"/>
    <col min="19" max="19" width="7.625" style="87"/>
    <col min="20" max="22" width="8.625" style="87" customWidth="1"/>
    <col min="23" max="23" width="8.625" style="85" customWidth="1"/>
    <col min="24" max="16384" width="7.625" style="87"/>
  </cols>
  <sheetData>
    <row r="1" spans="2:25" ht="18" customHeight="1" thickBot="1"/>
    <row r="2" spans="2:25" ht="60" customHeight="1" thickBot="1">
      <c r="B2" s="90" t="s">
        <v>0</v>
      </c>
      <c r="C2" s="91"/>
      <c r="D2" s="91"/>
      <c r="E2" s="91"/>
      <c r="F2" s="91"/>
      <c r="G2" s="91"/>
      <c r="H2" s="91"/>
      <c r="I2" s="91"/>
      <c r="J2" s="91"/>
      <c r="K2" s="91"/>
      <c r="L2" s="92"/>
    </row>
    <row r="3" spans="2:25" ht="18" customHeight="1">
      <c r="B3" s="84"/>
      <c r="C3" s="84"/>
      <c r="D3" s="84"/>
      <c r="E3" s="84"/>
      <c r="F3" s="84"/>
      <c r="G3" s="84"/>
      <c r="H3" s="84"/>
      <c r="I3" s="84"/>
      <c r="J3" s="84"/>
    </row>
    <row r="4" spans="2:25" ht="18" customHeight="1" thickBot="1">
      <c r="B4" s="83" t="s">
        <v>1</v>
      </c>
    </row>
    <row r="5" spans="2:25" ht="18" customHeight="1">
      <c r="B5" s="82" t="s">
        <v>2</v>
      </c>
      <c r="C5" s="81" t="s">
        <v>3</v>
      </c>
      <c r="D5" s="81" t="s">
        <v>4</v>
      </c>
      <c r="E5" s="93" t="s">
        <v>5</v>
      </c>
      <c r="F5" s="94"/>
      <c r="G5" s="94"/>
      <c r="H5" s="95"/>
      <c r="I5" s="93" t="s">
        <v>6</v>
      </c>
      <c r="J5" s="94"/>
      <c r="K5" s="94"/>
      <c r="L5" s="96"/>
      <c r="W5" s="87"/>
      <c r="Y5" s="85"/>
    </row>
    <row r="6" spans="2:25" ht="18" customHeight="1">
      <c r="B6" s="97" t="s">
        <v>7</v>
      </c>
      <c r="C6" s="80" t="s">
        <v>8</v>
      </c>
      <c r="D6" s="79">
        <f t="shared" ref="D6:D14" si="0">COUNTA($E6:$L6)</f>
        <v>3</v>
      </c>
      <c r="E6" s="78" t="s">
        <v>9</v>
      </c>
      <c r="F6" s="77"/>
      <c r="G6" s="77"/>
      <c r="H6" s="77"/>
      <c r="I6" s="78" t="s">
        <v>10</v>
      </c>
      <c r="J6" s="77" t="s">
        <v>11</v>
      </c>
      <c r="K6" s="77"/>
      <c r="L6" s="76"/>
      <c r="W6" s="87"/>
      <c r="Y6" s="85"/>
    </row>
    <row r="7" spans="2:25" ht="18" customHeight="1">
      <c r="B7" s="98"/>
      <c r="C7" s="75" t="s">
        <v>12</v>
      </c>
      <c r="D7" s="74">
        <f t="shared" si="0"/>
        <v>2</v>
      </c>
      <c r="E7" s="73" t="s">
        <v>13</v>
      </c>
      <c r="F7" s="72"/>
      <c r="G7" s="72"/>
      <c r="H7" s="72"/>
      <c r="I7" s="73" t="s">
        <v>14</v>
      </c>
      <c r="J7" s="72"/>
      <c r="K7" s="72"/>
      <c r="L7" s="71"/>
      <c r="W7" s="87"/>
      <c r="Y7" s="85"/>
    </row>
    <row r="8" spans="2:25" ht="18" customHeight="1">
      <c r="B8" s="97" t="s">
        <v>15</v>
      </c>
      <c r="C8" s="80" t="s">
        <v>16</v>
      </c>
      <c r="D8" s="79">
        <f t="shared" si="0"/>
        <v>4</v>
      </c>
      <c r="E8" s="78" t="s">
        <v>17</v>
      </c>
      <c r="F8" s="77" t="s">
        <v>18</v>
      </c>
      <c r="G8" s="77" t="s">
        <v>19</v>
      </c>
      <c r="H8" s="77" t="s">
        <v>20</v>
      </c>
      <c r="I8" s="78"/>
      <c r="J8" s="77"/>
      <c r="K8" s="77"/>
      <c r="L8" s="76"/>
      <c r="W8" s="87"/>
      <c r="Y8" s="85"/>
    </row>
    <row r="9" spans="2:25" ht="18" customHeight="1">
      <c r="B9" s="98"/>
      <c r="C9" s="75" t="s">
        <v>21</v>
      </c>
      <c r="D9" s="74">
        <f t="shared" si="0"/>
        <v>4</v>
      </c>
      <c r="E9" s="73" t="s">
        <v>22</v>
      </c>
      <c r="F9" s="72" t="s">
        <v>23</v>
      </c>
      <c r="G9" s="72" t="s">
        <v>24</v>
      </c>
      <c r="H9" s="72" t="s">
        <v>25</v>
      </c>
      <c r="I9" s="73"/>
      <c r="J9" s="72"/>
      <c r="K9" s="72"/>
      <c r="L9" s="71"/>
      <c r="W9" s="87"/>
      <c r="Y9" s="85"/>
    </row>
    <row r="10" spans="2:25" ht="18" customHeight="1">
      <c r="B10" s="97" t="s">
        <v>26</v>
      </c>
      <c r="C10" s="80" t="s">
        <v>27</v>
      </c>
      <c r="D10" s="79">
        <f t="shared" si="0"/>
        <v>2</v>
      </c>
      <c r="E10" s="78" t="s">
        <v>28</v>
      </c>
      <c r="F10" s="77" t="s">
        <v>29</v>
      </c>
      <c r="G10" s="77"/>
      <c r="H10" s="77"/>
      <c r="I10" s="78"/>
      <c r="J10" s="77"/>
      <c r="K10" s="77"/>
      <c r="L10" s="76"/>
      <c r="W10" s="87"/>
      <c r="Y10" s="85"/>
    </row>
    <row r="11" spans="2:25" ht="18" customHeight="1">
      <c r="B11" s="99"/>
      <c r="C11" s="70" t="s">
        <v>30</v>
      </c>
      <c r="D11" s="69">
        <f t="shared" si="0"/>
        <v>3</v>
      </c>
      <c r="E11" s="68" t="s">
        <v>31</v>
      </c>
      <c r="F11" s="67" t="s">
        <v>32</v>
      </c>
      <c r="G11" s="67"/>
      <c r="H11" s="67"/>
      <c r="I11" s="68" t="s">
        <v>33</v>
      </c>
      <c r="J11" s="67"/>
      <c r="K11" s="67"/>
      <c r="L11" s="66"/>
      <c r="W11" s="87"/>
      <c r="Y11" s="85"/>
    </row>
    <row r="12" spans="2:25" ht="18" customHeight="1">
      <c r="B12" s="99"/>
      <c r="C12" s="70" t="s">
        <v>34</v>
      </c>
      <c r="D12" s="69">
        <f t="shared" si="0"/>
        <v>4</v>
      </c>
      <c r="E12" s="68" t="s">
        <v>35</v>
      </c>
      <c r="F12" s="67" t="s">
        <v>36</v>
      </c>
      <c r="G12" s="67" t="s">
        <v>37</v>
      </c>
      <c r="H12" s="67"/>
      <c r="I12" s="68" t="s">
        <v>36</v>
      </c>
      <c r="J12" s="67"/>
      <c r="K12" s="67"/>
      <c r="L12" s="66"/>
      <c r="W12" s="87"/>
      <c r="Y12" s="85"/>
    </row>
    <row r="13" spans="2:25" ht="18" customHeight="1">
      <c r="B13" s="99"/>
      <c r="C13" s="70" t="s">
        <v>38</v>
      </c>
      <c r="D13" s="69">
        <f t="shared" si="0"/>
        <v>2</v>
      </c>
      <c r="E13" s="68" t="s">
        <v>39</v>
      </c>
      <c r="F13" s="67" t="s">
        <v>40</v>
      </c>
      <c r="G13" s="67"/>
      <c r="H13" s="67"/>
      <c r="I13" s="68"/>
      <c r="J13" s="67"/>
      <c r="K13" s="67"/>
      <c r="L13" s="66"/>
      <c r="W13" s="87"/>
      <c r="Y13" s="85"/>
    </row>
    <row r="14" spans="2:25" ht="18" customHeight="1">
      <c r="B14" s="98"/>
      <c r="C14" s="75" t="s">
        <v>41</v>
      </c>
      <c r="D14" s="74">
        <f t="shared" si="0"/>
        <v>3</v>
      </c>
      <c r="E14" s="73" t="s">
        <v>42</v>
      </c>
      <c r="F14" s="72" t="s">
        <v>43</v>
      </c>
      <c r="G14" s="72" t="s">
        <v>44</v>
      </c>
      <c r="H14" s="72"/>
      <c r="I14" s="73"/>
      <c r="J14" s="72"/>
      <c r="K14" s="72"/>
      <c r="L14" s="71"/>
      <c r="W14" s="87"/>
      <c r="Y14" s="85"/>
    </row>
    <row r="15" spans="2:25" ht="18" customHeight="1" thickBot="1">
      <c r="B15" s="88" t="s">
        <v>45</v>
      </c>
      <c r="C15" s="89"/>
      <c r="D15" s="65">
        <f>SUM(D6:D14)</f>
        <v>27</v>
      </c>
      <c r="E15" s="64"/>
      <c r="F15" s="63"/>
      <c r="G15" s="63"/>
      <c r="H15" s="63"/>
      <c r="I15" s="64"/>
      <c r="J15" s="63"/>
      <c r="K15" s="63"/>
      <c r="L15" s="62"/>
      <c r="W15" s="87"/>
      <c r="Y15" s="85"/>
    </row>
    <row r="16" spans="2:25" ht="18" customHeight="1">
      <c r="B16" s="86"/>
      <c r="C16" s="86"/>
      <c r="D16" s="61"/>
      <c r="E16" s="60"/>
      <c r="F16" s="60"/>
      <c r="G16" s="60"/>
      <c r="H16" s="60"/>
      <c r="I16" s="60"/>
      <c r="J16" s="60"/>
    </row>
    <row r="17" spans="2:23" ht="18" customHeight="1" thickBot="1">
      <c r="B17" s="83" t="s">
        <v>46</v>
      </c>
    </row>
    <row r="18" spans="2:23" ht="18" customHeight="1">
      <c r="B18" s="59" t="s">
        <v>47</v>
      </c>
      <c r="C18" s="58" t="s">
        <v>4</v>
      </c>
      <c r="D18" s="57" t="s">
        <v>48</v>
      </c>
      <c r="E18" s="57" t="s">
        <v>49</v>
      </c>
      <c r="F18" s="56" t="s">
        <v>50</v>
      </c>
      <c r="G18" s="56" t="s">
        <v>51</v>
      </c>
      <c r="H18" s="57" t="s">
        <v>52</v>
      </c>
      <c r="I18" s="57" t="s">
        <v>53</v>
      </c>
      <c r="J18" s="57" t="s">
        <v>54</v>
      </c>
      <c r="K18" s="55" t="s">
        <v>55</v>
      </c>
      <c r="L18" s="54" t="s">
        <v>56</v>
      </c>
    </row>
    <row r="19" spans="2:23" ht="18" customHeight="1">
      <c r="B19" s="53" t="s">
        <v>57</v>
      </c>
      <c r="C19" s="52">
        <v>1</v>
      </c>
      <c r="D19" s="51"/>
      <c r="E19" s="51"/>
      <c r="F19" s="51"/>
      <c r="G19" s="51"/>
      <c r="H19" s="51"/>
      <c r="I19" s="50"/>
      <c r="J19" s="49"/>
      <c r="K19" s="49"/>
      <c r="L19" s="48"/>
    </row>
    <row r="20" spans="2:23" ht="18" customHeight="1">
      <c r="B20" s="47" t="s">
        <v>58</v>
      </c>
      <c r="C20" s="46">
        <f>+C21+C22</f>
        <v>3</v>
      </c>
      <c r="D20" s="45"/>
      <c r="E20" s="45"/>
      <c r="F20" s="44"/>
      <c r="G20" s="44"/>
      <c r="H20" s="45"/>
      <c r="I20" s="45"/>
      <c r="J20" s="45"/>
      <c r="K20" s="43"/>
      <c r="L20" s="42"/>
    </row>
    <row r="21" spans="2:23" ht="18" customHeight="1">
      <c r="B21" s="53" t="s">
        <v>59</v>
      </c>
      <c r="C21" s="52">
        <v>1</v>
      </c>
      <c r="D21" s="51">
        <v>58.3</v>
      </c>
      <c r="E21" s="51">
        <v>10</v>
      </c>
      <c r="F21" s="51">
        <v>48.3</v>
      </c>
      <c r="G21" s="51">
        <v>47.5</v>
      </c>
      <c r="H21" s="51"/>
      <c r="I21" s="50">
        <v>19846</v>
      </c>
      <c r="J21" s="50">
        <f t="shared" ref="J21:J22" si="1">+I21/F21</f>
        <v>410.89026915113874</v>
      </c>
      <c r="K21" s="41">
        <f t="shared" ref="K21:K22" si="2">+I21/G21</f>
        <v>417.81052631578945</v>
      </c>
      <c r="L21" s="48">
        <f t="shared" ref="L21:L22" si="3">+I21/C21</f>
        <v>19846</v>
      </c>
    </row>
    <row r="22" spans="2:23" ht="18" customHeight="1">
      <c r="B22" s="40" t="s">
        <v>60</v>
      </c>
      <c r="C22" s="39">
        <v>2</v>
      </c>
      <c r="D22" s="38">
        <v>57.36666666666666</v>
      </c>
      <c r="E22" s="38">
        <v>10</v>
      </c>
      <c r="F22" s="38">
        <v>47.36666666666666</v>
      </c>
      <c r="G22" s="38">
        <v>47.5</v>
      </c>
      <c r="H22" s="38"/>
      <c r="I22" s="37">
        <v>374495</v>
      </c>
      <c r="J22" s="37">
        <f t="shared" si="1"/>
        <v>7906.2983814215349</v>
      </c>
      <c r="K22" s="37">
        <f t="shared" si="2"/>
        <v>7884.105263157895</v>
      </c>
      <c r="L22" s="36">
        <f t="shared" si="3"/>
        <v>187247.5</v>
      </c>
    </row>
    <row r="23" spans="2:23" ht="18" customHeight="1">
      <c r="B23" s="35" t="s">
        <v>61</v>
      </c>
      <c r="C23" s="34"/>
      <c r="D23" s="33"/>
      <c r="E23" s="33"/>
      <c r="F23" s="33"/>
      <c r="G23" s="33"/>
      <c r="H23" s="33"/>
      <c r="I23" s="32"/>
      <c r="J23" s="31"/>
      <c r="K23" s="31"/>
      <c r="L23" s="30"/>
    </row>
    <row r="24" spans="2:23" ht="18" customHeight="1">
      <c r="B24" s="29" t="s">
        <v>62</v>
      </c>
      <c r="C24" s="28">
        <v>3</v>
      </c>
      <c r="D24" s="27">
        <v>29.05</v>
      </c>
      <c r="E24" s="27">
        <v>5.5</v>
      </c>
      <c r="F24" s="27">
        <v>29.05</v>
      </c>
      <c r="G24" s="27">
        <v>30.5</v>
      </c>
      <c r="H24" s="27">
        <v>0.96666666666666679</v>
      </c>
      <c r="I24" s="26">
        <v>1564.8080379999997</v>
      </c>
      <c r="J24" s="25">
        <f t="shared" ref="J24:J30" si="4">+I24/F24</f>
        <v>53.866025404475032</v>
      </c>
      <c r="K24" s="25">
        <f t="shared" ref="K24:K30" si="5">+I24/G24</f>
        <v>51.305181573770483</v>
      </c>
      <c r="L24" s="24">
        <f t="shared" ref="L24:L30" si="6">+I24/C24</f>
        <v>521.60267933333319</v>
      </c>
    </row>
    <row r="25" spans="2:23" s="20" customFormat="1" ht="20.100000000000001" customHeight="1">
      <c r="B25" s="53" t="s">
        <v>63</v>
      </c>
      <c r="C25" s="23">
        <v>2.4</v>
      </c>
      <c r="D25" s="51">
        <v>20.31666666666667</v>
      </c>
      <c r="E25" s="51">
        <v>4</v>
      </c>
      <c r="F25" s="51">
        <v>20.31666666666667</v>
      </c>
      <c r="G25" s="51">
        <v>18.999999999999961</v>
      </c>
      <c r="H25" s="51">
        <v>0.61666666666666692</v>
      </c>
      <c r="I25" s="50">
        <v>1133.7940599999997</v>
      </c>
      <c r="J25" s="49">
        <f t="shared" si="4"/>
        <v>55.806106316652972</v>
      </c>
      <c r="K25" s="49">
        <f t="shared" si="5"/>
        <v>59.673371578947474</v>
      </c>
      <c r="L25" s="48">
        <f t="shared" si="6"/>
        <v>472.41419166666657</v>
      </c>
      <c r="M25" s="22"/>
      <c r="N25" s="22"/>
      <c r="O25" s="22"/>
      <c r="P25" s="22"/>
      <c r="Q25" s="22"/>
      <c r="R25" s="22"/>
      <c r="S25" s="22"/>
      <c r="T25" s="22"/>
      <c r="U25" s="21"/>
      <c r="V25" s="21"/>
      <c r="W25" s="21"/>
    </row>
    <row r="26" spans="2:23" s="20" customFormat="1" ht="20.100000000000001" customHeight="1">
      <c r="B26" s="40" t="s">
        <v>64</v>
      </c>
      <c r="C26" s="19">
        <v>1</v>
      </c>
      <c r="D26" s="38">
        <v>8.6999999999999993</v>
      </c>
      <c r="E26" s="38">
        <v>1.5</v>
      </c>
      <c r="F26" s="38">
        <v>8.6999999999999993</v>
      </c>
      <c r="G26" s="38">
        <v>11.499999999999979</v>
      </c>
      <c r="H26" s="38">
        <v>0.35</v>
      </c>
      <c r="I26" s="37">
        <v>431.01397799999995</v>
      </c>
      <c r="J26" s="18">
        <f t="shared" si="4"/>
        <v>49.541836551724138</v>
      </c>
      <c r="K26" s="18">
        <f t="shared" si="5"/>
        <v>37.47947634782615</v>
      </c>
      <c r="L26" s="36">
        <f t="shared" si="6"/>
        <v>431.01397799999995</v>
      </c>
      <c r="M26" s="22"/>
      <c r="N26" s="22"/>
      <c r="O26" s="22"/>
      <c r="P26" s="22"/>
      <c r="Q26" s="22"/>
      <c r="R26" s="22"/>
      <c r="S26" s="22"/>
      <c r="T26" s="22"/>
      <c r="U26" s="21"/>
      <c r="V26" s="21"/>
      <c r="W26" s="21"/>
    </row>
    <row r="27" spans="2:23" ht="18" customHeight="1">
      <c r="B27" s="35" t="s">
        <v>65</v>
      </c>
      <c r="C27" s="17">
        <v>2</v>
      </c>
      <c r="D27" s="33">
        <v>32.333333333333336</v>
      </c>
      <c r="E27" s="33">
        <v>5.5</v>
      </c>
      <c r="F27" s="33">
        <v>32.333333333333336</v>
      </c>
      <c r="G27" s="33">
        <v>30.5</v>
      </c>
      <c r="H27" s="33">
        <v>7.15</v>
      </c>
      <c r="I27" s="32">
        <v>587</v>
      </c>
      <c r="J27" s="31">
        <f t="shared" si="4"/>
        <v>18.154639175257731</v>
      </c>
      <c r="K27" s="31">
        <f t="shared" si="5"/>
        <v>19.245901639344261</v>
      </c>
      <c r="L27" s="30">
        <f t="shared" si="6"/>
        <v>293.5</v>
      </c>
    </row>
    <row r="28" spans="2:23" ht="18" customHeight="1">
      <c r="B28" s="53" t="s">
        <v>63</v>
      </c>
      <c r="C28" s="23">
        <v>1.4</v>
      </c>
      <c r="D28" s="51">
        <v>21.5</v>
      </c>
      <c r="E28" s="51">
        <v>4</v>
      </c>
      <c r="F28" s="51">
        <v>21.5</v>
      </c>
      <c r="G28" s="51">
        <v>19</v>
      </c>
      <c r="H28" s="51">
        <v>6.15</v>
      </c>
      <c r="I28" s="50">
        <v>457</v>
      </c>
      <c r="J28" s="49">
        <f t="shared" si="4"/>
        <v>21.255813953488371</v>
      </c>
      <c r="K28" s="49">
        <f t="shared" si="5"/>
        <v>24.05263157894737</v>
      </c>
      <c r="L28" s="48">
        <f t="shared" si="6"/>
        <v>326.42857142857144</v>
      </c>
    </row>
    <row r="29" spans="2:23" ht="18" customHeight="1">
      <c r="B29" s="35" t="s">
        <v>64</v>
      </c>
      <c r="C29" s="17">
        <v>1</v>
      </c>
      <c r="D29" s="33">
        <v>10.833333333333332</v>
      </c>
      <c r="E29" s="33">
        <v>1.5</v>
      </c>
      <c r="F29" s="33">
        <v>10.833333333333332</v>
      </c>
      <c r="G29" s="33">
        <v>11.5</v>
      </c>
      <c r="H29" s="33">
        <v>1</v>
      </c>
      <c r="I29" s="32">
        <v>130</v>
      </c>
      <c r="J29" s="31">
        <f t="shared" si="4"/>
        <v>12.000000000000002</v>
      </c>
      <c r="K29" s="31">
        <f t="shared" si="5"/>
        <v>11.304347826086957</v>
      </c>
      <c r="L29" s="30">
        <f t="shared" si="6"/>
        <v>130</v>
      </c>
    </row>
    <row r="30" spans="2:23" ht="18" customHeight="1">
      <c r="B30" s="16" t="s">
        <v>66</v>
      </c>
      <c r="C30" s="15">
        <v>2</v>
      </c>
      <c r="D30" s="14">
        <v>32.333333333333336</v>
      </c>
      <c r="E30" s="14">
        <v>2</v>
      </c>
      <c r="F30" s="14">
        <v>30.333333333333336</v>
      </c>
      <c r="G30" s="13">
        <v>28.5</v>
      </c>
      <c r="H30" s="12"/>
      <c r="I30" s="11">
        <v>8306</v>
      </c>
      <c r="J30" s="10">
        <f t="shared" si="4"/>
        <v>273.82417582417582</v>
      </c>
      <c r="K30" s="10">
        <f t="shared" si="5"/>
        <v>291.43859649122805</v>
      </c>
      <c r="L30" s="9">
        <f t="shared" si="6"/>
        <v>4153</v>
      </c>
    </row>
    <row r="31" spans="2:23" ht="18" customHeight="1">
      <c r="B31" s="35" t="s">
        <v>67</v>
      </c>
      <c r="C31" s="17">
        <v>8</v>
      </c>
      <c r="D31" s="33">
        <v>47.65</v>
      </c>
      <c r="E31" s="33">
        <v>8</v>
      </c>
      <c r="F31" s="33">
        <v>39.65</v>
      </c>
      <c r="G31" s="33">
        <v>44.249999999999986</v>
      </c>
      <c r="H31" s="33"/>
      <c r="I31" s="32">
        <v>1404</v>
      </c>
      <c r="J31" s="31">
        <f>+I31/F31</f>
        <v>35.409836065573771</v>
      </c>
      <c r="K31" s="31">
        <f>+I31/G31</f>
        <v>31.728813559322045</v>
      </c>
      <c r="L31" s="30">
        <f>+I31/C31</f>
        <v>175.5</v>
      </c>
    </row>
    <row r="32" spans="2:23" ht="18" customHeight="1">
      <c r="B32" s="53" t="s">
        <v>63</v>
      </c>
      <c r="C32" s="23">
        <v>6</v>
      </c>
      <c r="D32" s="51">
        <v>33.666666666666664</v>
      </c>
      <c r="E32" s="51">
        <v>5.9999999999999982</v>
      </c>
      <c r="F32" s="51">
        <v>27.666666666666664</v>
      </c>
      <c r="G32" s="51">
        <v>28.499999999999993</v>
      </c>
      <c r="H32" s="51"/>
      <c r="I32" s="50">
        <v>1141.1849999999999</v>
      </c>
      <c r="J32" s="49">
        <f t="shared" ref="J32:J33" si="7">+I32/F32</f>
        <v>41.247650602409642</v>
      </c>
      <c r="K32" s="49">
        <f t="shared" ref="K32:K33" si="8">+I32/G32</f>
        <v>40.041578947368428</v>
      </c>
      <c r="L32" s="48">
        <f t="shared" ref="L32:L33" si="9">+I32/C32</f>
        <v>190.19749999999999</v>
      </c>
    </row>
    <row r="33" spans="2:12" ht="18" customHeight="1">
      <c r="B33" s="35" t="s">
        <v>64</v>
      </c>
      <c r="C33" s="17">
        <v>2</v>
      </c>
      <c r="D33" s="33">
        <v>13.933333333333334</v>
      </c>
      <c r="E33" s="33">
        <v>2.2499999999999991</v>
      </c>
      <c r="F33" s="33">
        <v>11.683333333333334</v>
      </c>
      <c r="G33" s="33">
        <v>15.749999999999995</v>
      </c>
      <c r="H33" s="33"/>
      <c r="I33" s="32">
        <v>271.12099999999998</v>
      </c>
      <c r="J33" s="31">
        <f t="shared" si="7"/>
        <v>23.205791726105563</v>
      </c>
      <c r="K33" s="31">
        <f t="shared" si="8"/>
        <v>17.21403174603175</v>
      </c>
      <c r="L33" s="30">
        <f t="shared" si="9"/>
        <v>135.56049999999999</v>
      </c>
    </row>
    <row r="34" spans="2:12" ht="18" customHeight="1">
      <c r="B34" s="16" t="s">
        <v>68</v>
      </c>
      <c r="C34" s="8">
        <v>2</v>
      </c>
      <c r="D34" s="14"/>
      <c r="E34" s="14"/>
      <c r="F34" s="14"/>
      <c r="G34" s="14"/>
      <c r="H34" s="14"/>
      <c r="I34" s="11"/>
      <c r="J34" s="10"/>
      <c r="K34" s="10"/>
      <c r="L34" s="9"/>
    </row>
    <row r="35" spans="2:12" ht="18" customHeight="1">
      <c r="B35" s="16" t="s">
        <v>69</v>
      </c>
      <c r="C35" s="8">
        <v>2</v>
      </c>
      <c r="D35" s="14"/>
      <c r="E35" s="14"/>
      <c r="F35" s="14"/>
      <c r="G35" s="14"/>
      <c r="H35" s="14"/>
      <c r="I35" s="11"/>
      <c r="J35" s="10"/>
      <c r="K35" s="10"/>
      <c r="L35" s="9"/>
    </row>
    <row r="36" spans="2:12" ht="18" customHeight="1" thickBot="1">
      <c r="B36" s="7" t="s">
        <v>70</v>
      </c>
      <c r="C36" s="6">
        <v>3</v>
      </c>
      <c r="D36" s="5">
        <v>30.5</v>
      </c>
      <c r="E36" s="5">
        <v>7.5</v>
      </c>
      <c r="F36" s="5">
        <v>23</v>
      </c>
      <c r="G36" s="5">
        <v>28.5</v>
      </c>
      <c r="H36" s="5">
        <v>0</v>
      </c>
      <c r="I36" s="4">
        <v>21</v>
      </c>
      <c r="J36" s="3">
        <v>0.68852459016393441</v>
      </c>
      <c r="K36" s="3">
        <v>0.73684210526315785</v>
      </c>
      <c r="L36" s="2">
        <v>7</v>
      </c>
    </row>
  </sheetData>
  <mergeCells count="7">
    <mergeCell ref="B15:C15"/>
    <mergeCell ref="B2:L2"/>
    <mergeCell ref="E5:H5"/>
    <mergeCell ref="I5:L5"/>
    <mergeCell ref="B6:B7"/>
    <mergeCell ref="B8:B9"/>
    <mergeCell ref="B10:B14"/>
  </mergeCells>
  <phoneticPr fontId="1" type="noConversion"/>
  <pageMargins left="0.7" right="0.7" top="0.75" bottom="0.75" header="0.3" footer="0.3"/>
  <pageSetup paperSize="9" scale="73" orientation="portrait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종합생산일보(MES)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2023-04-11T06:06:57Z</cp:lastPrinted>
  <dcterms:created xsi:type="dcterms:W3CDTF">2023-04-11T06:06:08Z</dcterms:created>
  <dcterms:modified xsi:type="dcterms:W3CDTF">2025-07-02T08:17:57Z</dcterms:modified>
</cp:coreProperties>
</file>